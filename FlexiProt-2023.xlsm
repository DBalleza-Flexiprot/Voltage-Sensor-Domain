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Balleza\Desktop\"/>
    </mc:Choice>
  </mc:AlternateContent>
  <xr:revisionPtr revIDLastSave="0" documentId="13_ncr:1_{A4663635-CF8E-4D3A-B7FA-BE9D31DB76CF}" xr6:coauthVersionLast="47" xr6:coauthVersionMax="47" xr10:uidLastSave="{00000000-0000-0000-0000-000000000000}"/>
  <bookViews>
    <workbookView xWindow="-120" yWindow="-120" windowWidth="15600" windowHeight="11160" tabRatio="259" xr2:uid="{00000000-000D-0000-FFFF-FFFF00000000}"/>
  </bookViews>
  <sheets>
    <sheet name="FlexiProt" sheetId="1" r:id="rId1"/>
  </sheets>
  <definedNames>
    <definedName name="Bfactors">FlexiProt!$B$4:$U$6</definedName>
    <definedName name="mh">FlexiProt!$B$2:$U$3</definedName>
    <definedName name="mv">FlexiProt!$A$4:$U$6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8" i="1" l="1"/>
  <c r="AH3" i="1" l="1"/>
  <c r="AF4" i="1"/>
  <c r="AG4" i="1" s="1"/>
  <c r="AI3" i="1" l="1"/>
  <c r="AH4" i="1"/>
  <c r="AG5" i="1"/>
  <c r="AI4" i="1" l="1"/>
  <c r="AG6" i="1"/>
  <c r="AH5" i="1"/>
  <c r="AI5" i="1" s="1"/>
  <c r="AJ4" i="1" l="1"/>
  <c r="AK4" i="1" s="1"/>
  <c r="AG7" i="1"/>
  <c r="AH6" i="1"/>
  <c r="AI6" i="1" l="1"/>
  <c r="AG8" i="1"/>
  <c r="AH7" i="1"/>
  <c r="AJ5" i="1" l="1"/>
  <c r="AK5" i="1" s="1"/>
  <c r="AI7" i="1"/>
  <c r="AG9" i="1"/>
  <c r="AH8" i="1"/>
  <c r="AJ6" i="1" l="1"/>
  <c r="AK6" i="1" s="1"/>
  <c r="AI8" i="1"/>
  <c r="AG10" i="1"/>
  <c r="AH9" i="1"/>
  <c r="AJ7" i="1" l="1"/>
  <c r="AK7" i="1" s="1"/>
  <c r="AI9" i="1"/>
  <c r="AG11" i="1"/>
  <c r="AH10" i="1"/>
  <c r="AJ8" i="1" l="1"/>
  <c r="AK8" i="1" s="1"/>
  <c r="AI10" i="1"/>
  <c r="AG12" i="1"/>
  <c r="AH11" i="1"/>
  <c r="AI11" i="1" l="1"/>
  <c r="AJ10" i="1" s="1"/>
  <c r="AK10" i="1" s="1"/>
  <c r="AJ9" i="1"/>
  <c r="AK9" i="1" s="1"/>
  <c r="AG13" i="1"/>
  <c r="AH12" i="1"/>
  <c r="AI12" i="1" l="1"/>
  <c r="AJ11" i="1" s="1"/>
  <c r="AK11" i="1" s="1"/>
  <c r="AG14" i="1"/>
  <c r="AH13" i="1"/>
  <c r="AI13" i="1" l="1"/>
  <c r="AJ12" i="1" s="1"/>
  <c r="AK12" i="1" s="1"/>
  <c r="AG15" i="1"/>
  <c r="AH14" i="1"/>
  <c r="AI14" i="1" l="1"/>
  <c r="AJ13" i="1" s="1"/>
  <c r="AK13" i="1" s="1"/>
  <c r="AG16" i="1"/>
  <c r="AH15" i="1"/>
  <c r="AI15" i="1" l="1"/>
  <c r="AJ14" i="1" s="1"/>
  <c r="AK14" i="1" s="1"/>
  <c r="AG17" i="1"/>
  <c r="AH16" i="1"/>
  <c r="AI16" i="1" l="1"/>
  <c r="AJ15" i="1" s="1"/>
  <c r="AK15" i="1" s="1"/>
  <c r="AG18" i="1"/>
  <c r="AH17" i="1"/>
  <c r="AI17" i="1" l="1"/>
  <c r="AJ16" i="1" s="1"/>
  <c r="AK16" i="1" s="1"/>
  <c r="AG19" i="1"/>
  <c r="AH18" i="1"/>
  <c r="AI18" i="1" l="1"/>
  <c r="AJ17" i="1" s="1"/>
  <c r="AK17" i="1" s="1"/>
  <c r="AG20" i="1"/>
  <c r="AH20" i="1" s="1"/>
  <c r="AH19" i="1"/>
  <c r="AI20" i="1" l="1"/>
  <c r="AJ19" i="1" s="1"/>
  <c r="AK19" i="1" s="1"/>
  <c r="AI19" i="1"/>
  <c r="AJ18" i="1" s="1"/>
  <c r="AK18" i="1" s="1"/>
  <c r="AG21" i="1"/>
  <c r="AH21" i="1" s="1"/>
  <c r="AI21" i="1" l="1"/>
  <c r="AJ20" i="1" s="1"/>
  <c r="AK20" i="1" s="1"/>
  <c r="AG22" i="1"/>
  <c r="AG23" i="1" l="1"/>
  <c r="AH22" i="1"/>
  <c r="AI22" i="1" l="1"/>
  <c r="AJ21" i="1" s="1"/>
  <c r="AK21" i="1" s="1"/>
  <c r="AG24" i="1"/>
  <c r="AH23" i="1"/>
  <c r="AI23" i="1" l="1"/>
  <c r="AJ22" i="1" s="1"/>
  <c r="AK22" i="1" s="1"/>
  <c r="AG25" i="1"/>
  <c r="AH24" i="1"/>
  <c r="AI24" i="1" l="1"/>
  <c r="AJ23" i="1" s="1"/>
  <c r="AK23" i="1" s="1"/>
  <c r="AG26" i="1"/>
  <c r="AH25" i="1"/>
  <c r="AI25" i="1" l="1"/>
  <c r="AJ24" i="1" s="1"/>
  <c r="AK24" i="1" s="1"/>
  <c r="AG27" i="1"/>
  <c r="AH26" i="1"/>
  <c r="AI26" i="1" l="1"/>
  <c r="AJ25" i="1" s="1"/>
  <c r="AK25" i="1" s="1"/>
  <c r="AG28" i="1"/>
  <c r="AH27" i="1"/>
  <c r="AI27" i="1" l="1"/>
  <c r="AJ26" i="1" s="1"/>
  <c r="AK26" i="1" s="1"/>
  <c r="AG29" i="1"/>
  <c r="AH28" i="1"/>
  <c r="AI28" i="1" l="1"/>
  <c r="AJ27" i="1" s="1"/>
  <c r="AK27" i="1" s="1"/>
  <c r="AG30" i="1"/>
  <c r="AH29" i="1"/>
  <c r="AI29" i="1" l="1"/>
  <c r="AJ28" i="1" s="1"/>
  <c r="AK28" i="1" s="1"/>
  <c r="AG31" i="1"/>
  <c r="AH30" i="1"/>
  <c r="AI30" i="1" l="1"/>
  <c r="AJ29" i="1" s="1"/>
  <c r="AK29" i="1" s="1"/>
  <c r="AG32" i="1"/>
  <c r="AH31" i="1"/>
  <c r="AI31" i="1" l="1"/>
  <c r="AJ30" i="1" s="1"/>
  <c r="AK30" i="1" s="1"/>
  <c r="AG33" i="1"/>
  <c r="AH32" i="1"/>
  <c r="AI32" i="1" l="1"/>
  <c r="AJ31" i="1" s="1"/>
  <c r="AK31" i="1" s="1"/>
  <c r="AG34" i="1"/>
  <c r="AH33" i="1"/>
  <c r="AI33" i="1" l="1"/>
  <c r="AJ32" i="1" s="1"/>
  <c r="AK32" i="1" s="1"/>
  <c r="AG35" i="1"/>
  <c r="AH34" i="1"/>
  <c r="AI34" i="1" l="1"/>
  <c r="AJ33" i="1" s="1"/>
  <c r="AK33" i="1" s="1"/>
  <c r="AG36" i="1"/>
  <c r="AH35" i="1"/>
  <c r="AI35" i="1" l="1"/>
  <c r="AJ34" i="1" s="1"/>
  <c r="AK34" i="1" s="1"/>
  <c r="AG37" i="1"/>
  <c r="AH36" i="1"/>
  <c r="AI36" i="1" l="1"/>
  <c r="AJ35" i="1" s="1"/>
  <c r="AK35" i="1" s="1"/>
  <c r="AG38" i="1"/>
  <c r="AH37" i="1"/>
  <c r="AI37" i="1" l="1"/>
  <c r="AJ36" i="1" s="1"/>
  <c r="AK36" i="1" s="1"/>
  <c r="AG39" i="1"/>
  <c r="AH38" i="1"/>
  <c r="AI38" i="1" l="1"/>
  <c r="AJ37" i="1" s="1"/>
  <c r="AK37" i="1" s="1"/>
  <c r="AG40" i="1"/>
  <c r="AH39" i="1"/>
  <c r="AI39" i="1" l="1"/>
  <c r="AJ38" i="1" s="1"/>
  <c r="AK38" i="1" s="1"/>
  <c r="AG41" i="1"/>
  <c r="AH40" i="1"/>
  <c r="AI40" i="1" l="1"/>
  <c r="AJ39" i="1" s="1"/>
  <c r="AK39" i="1" s="1"/>
  <c r="AG42" i="1"/>
  <c r="AH41" i="1"/>
  <c r="AI41" i="1" l="1"/>
  <c r="AJ40" i="1" s="1"/>
  <c r="AK40" i="1" s="1"/>
  <c r="AG43" i="1"/>
  <c r="AH42" i="1"/>
  <c r="AI42" i="1" l="1"/>
  <c r="AJ41" i="1" s="1"/>
  <c r="AK41" i="1" s="1"/>
  <c r="AG44" i="1"/>
  <c r="AH43" i="1"/>
  <c r="AI43" i="1" l="1"/>
  <c r="AJ42" i="1" s="1"/>
  <c r="AK42" i="1" s="1"/>
  <c r="AG45" i="1"/>
  <c r="AH44" i="1"/>
  <c r="AI44" i="1" l="1"/>
  <c r="AJ43" i="1" s="1"/>
  <c r="AK43" i="1" s="1"/>
  <c r="AG46" i="1"/>
  <c r="AH45" i="1"/>
  <c r="AI45" i="1" l="1"/>
  <c r="AJ44" i="1" s="1"/>
  <c r="AK44" i="1" s="1"/>
  <c r="AG47" i="1"/>
  <c r="AH46" i="1"/>
  <c r="AI46" i="1" l="1"/>
  <c r="AJ45" i="1" s="1"/>
  <c r="AK45" i="1" s="1"/>
  <c r="AG48" i="1"/>
  <c r="AH47" i="1"/>
  <c r="AI47" i="1" l="1"/>
  <c r="AJ46" i="1" s="1"/>
  <c r="AK46" i="1" s="1"/>
  <c r="AG49" i="1"/>
  <c r="AH48" i="1"/>
  <c r="AI48" i="1" l="1"/>
  <c r="AJ47" i="1" s="1"/>
  <c r="AK47" i="1" s="1"/>
  <c r="AG50" i="1"/>
  <c r="AH49" i="1"/>
  <c r="AI49" i="1" l="1"/>
  <c r="AJ48" i="1" s="1"/>
  <c r="AK48" i="1" s="1"/>
  <c r="AG51" i="1"/>
  <c r="AH50" i="1"/>
  <c r="AI50" i="1" l="1"/>
  <c r="AJ49" i="1" s="1"/>
  <c r="AK49" i="1" s="1"/>
  <c r="AG52" i="1"/>
  <c r="AH51" i="1"/>
  <c r="AI51" i="1" l="1"/>
  <c r="AJ50" i="1" s="1"/>
  <c r="AK50" i="1" s="1"/>
  <c r="AG53" i="1"/>
  <c r="AH52" i="1"/>
  <c r="AI52" i="1" l="1"/>
  <c r="AJ51" i="1" s="1"/>
  <c r="AK51" i="1" s="1"/>
  <c r="AG54" i="1"/>
  <c r="AH53" i="1"/>
  <c r="AI53" i="1" l="1"/>
  <c r="AJ52" i="1" s="1"/>
  <c r="AK52" i="1" s="1"/>
  <c r="AG55" i="1"/>
  <c r="AH54" i="1"/>
  <c r="AI54" i="1" l="1"/>
  <c r="AJ53" i="1" s="1"/>
  <c r="AK53" i="1" s="1"/>
  <c r="AG56" i="1"/>
  <c r="AH55" i="1"/>
  <c r="AI55" i="1" l="1"/>
  <c r="AJ54" i="1" s="1"/>
  <c r="AK54" i="1" s="1"/>
  <c r="AG57" i="1"/>
  <c r="AH56" i="1"/>
  <c r="AI56" i="1" l="1"/>
  <c r="AJ55" i="1" s="1"/>
  <c r="AK55" i="1" s="1"/>
  <c r="AG58" i="1"/>
  <c r="AH57" i="1"/>
  <c r="AI57" i="1" l="1"/>
  <c r="AJ56" i="1" s="1"/>
  <c r="AK56" i="1" s="1"/>
  <c r="AG59" i="1"/>
  <c r="AH58" i="1"/>
  <c r="AI58" i="1" l="1"/>
  <c r="AJ57" i="1" s="1"/>
  <c r="AK57" i="1" s="1"/>
  <c r="AG60" i="1"/>
  <c r="AH59" i="1"/>
  <c r="AI59" i="1" l="1"/>
  <c r="AJ58" i="1" s="1"/>
  <c r="AK58" i="1" s="1"/>
  <c r="AG61" i="1"/>
  <c r="AH60" i="1"/>
  <c r="AI60" i="1" l="1"/>
  <c r="AJ59" i="1" s="1"/>
  <c r="AK59" i="1" s="1"/>
  <c r="AG62" i="1"/>
  <c r="AH61" i="1"/>
  <c r="AI61" i="1" l="1"/>
  <c r="AJ60" i="1" s="1"/>
  <c r="AK60" i="1" s="1"/>
  <c r="AG63" i="1"/>
  <c r="AH62" i="1"/>
  <c r="AI62" i="1" l="1"/>
  <c r="AJ61" i="1" s="1"/>
  <c r="AK61" i="1" s="1"/>
  <c r="AG64" i="1"/>
  <c r="AH63" i="1"/>
  <c r="AI63" i="1" l="1"/>
  <c r="AJ62" i="1" s="1"/>
  <c r="AK62" i="1" s="1"/>
  <c r="AG65" i="1"/>
  <c r="AH64" i="1"/>
  <c r="AI64" i="1" l="1"/>
  <c r="AJ63" i="1" s="1"/>
  <c r="AK63" i="1" s="1"/>
  <c r="AG66" i="1"/>
  <c r="AH65" i="1"/>
  <c r="AI65" i="1" l="1"/>
  <c r="AJ64" i="1" s="1"/>
  <c r="AK64" i="1" s="1"/>
  <c r="AG67" i="1"/>
  <c r="AH66" i="1"/>
  <c r="AI66" i="1" l="1"/>
  <c r="AJ65" i="1" s="1"/>
  <c r="AK65" i="1" s="1"/>
  <c r="AG68" i="1"/>
  <c r="AH67" i="1"/>
  <c r="AI67" i="1" l="1"/>
  <c r="AJ66" i="1" s="1"/>
  <c r="AK66" i="1" s="1"/>
  <c r="AG69" i="1"/>
  <c r="AH68" i="1"/>
  <c r="AI68" i="1" l="1"/>
  <c r="AJ67" i="1" s="1"/>
  <c r="AK67" i="1" s="1"/>
  <c r="AG70" i="1"/>
  <c r="AH69" i="1"/>
  <c r="AI69" i="1" l="1"/>
  <c r="AJ68" i="1" s="1"/>
  <c r="AK68" i="1" s="1"/>
  <c r="AG71" i="1"/>
  <c r="AH70" i="1"/>
  <c r="AI70" i="1" l="1"/>
  <c r="AJ69" i="1" s="1"/>
  <c r="AK69" i="1" s="1"/>
  <c r="AG72" i="1"/>
  <c r="AH71" i="1"/>
  <c r="AI71" i="1" l="1"/>
  <c r="AJ70" i="1" s="1"/>
  <c r="AK70" i="1" s="1"/>
  <c r="AG73" i="1"/>
  <c r="AH72" i="1"/>
  <c r="AI72" i="1" l="1"/>
  <c r="AJ71" i="1" s="1"/>
  <c r="AK71" i="1" s="1"/>
  <c r="AG74" i="1"/>
  <c r="AH73" i="1"/>
  <c r="AI73" i="1" l="1"/>
  <c r="AJ72" i="1" s="1"/>
  <c r="AK72" i="1" s="1"/>
  <c r="AG75" i="1"/>
  <c r="AH74" i="1"/>
  <c r="AI74" i="1" l="1"/>
  <c r="AJ73" i="1" s="1"/>
  <c r="AK73" i="1" s="1"/>
  <c r="AG76" i="1"/>
  <c r="AH75" i="1"/>
  <c r="AI75" i="1" l="1"/>
  <c r="AJ74" i="1" s="1"/>
  <c r="AK74" i="1" s="1"/>
  <c r="AG77" i="1"/>
  <c r="AH76" i="1"/>
  <c r="AI76" i="1" l="1"/>
  <c r="AJ75" i="1" s="1"/>
  <c r="AK75" i="1" s="1"/>
  <c r="AG78" i="1"/>
  <c r="AH77" i="1"/>
  <c r="AI77" i="1" l="1"/>
  <c r="AJ76" i="1" s="1"/>
  <c r="AK76" i="1" s="1"/>
  <c r="AG79" i="1"/>
  <c r="AH78" i="1"/>
  <c r="AI78" i="1" l="1"/>
  <c r="AJ77" i="1" s="1"/>
  <c r="AK77" i="1" s="1"/>
  <c r="AG80" i="1"/>
  <c r="AH79" i="1"/>
  <c r="AI79" i="1" l="1"/>
  <c r="AJ78" i="1" s="1"/>
  <c r="AK78" i="1" s="1"/>
  <c r="AG81" i="1"/>
  <c r="AH80" i="1"/>
  <c r="AI80" i="1" l="1"/>
  <c r="AJ79" i="1" s="1"/>
  <c r="AK79" i="1" s="1"/>
  <c r="AG82" i="1"/>
  <c r="AH81" i="1"/>
  <c r="AI81" i="1" l="1"/>
  <c r="AJ80" i="1" s="1"/>
  <c r="AK80" i="1" s="1"/>
  <c r="AG83" i="1"/>
  <c r="AH82" i="1"/>
  <c r="AI82" i="1" l="1"/>
  <c r="AJ81" i="1" s="1"/>
  <c r="AK81" i="1" s="1"/>
  <c r="AG84" i="1"/>
  <c r="AH83" i="1"/>
  <c r="AI83" i="1" l="1"/>
  <c r="AJ82" i="1" s="1"/>
  <c r="AK82" i="1" s="1"/>
  <c r="AG85" i="1"/>
  <c r="AH84" i="1"/>
  <c r="AI84" i="1" l="1"/>
  <c r="AJ83" i="1" s="1"/>
  <c r="AK83" i="1" s="1"/>
  <c r="AG86" i="1"/>
  <c r="AH85" i="1"/>
  <c r="AI85" i="1" l="1"/>
  <c r="AJ84" i="1" s="1"/>
  <c r="AK84" i="1" s="1"/>
  <c r="AG87" i="1"/>
  <c r="AH86" i="1"/>
  <c r="AI86" i="1" l="1"/>
  <c r="AJ85" i="1" s="1"/>
  <c r="AK85" i="1" s="1"/>
  <c r="AG88" i="1"/>
  <c r="AH87" i="1"/>
  <c r="AI87" i="1" l="1"/>
  <c r="AJ86" i="1" s="1"/>
  <c r="AK86" i="1" s="1"/>
  <c r="AG89" i="1"/>
  <c r="AH88" i="1"/>
  <c r="AI88" i="1" l="1"/>
  <c r="AJ87" i="1" s="1"/>
  <c r="AK87" i="1" s="1"/>
  <c r="AG90" i="1"/>
  <c r="AH89" i="1"/>
  <c r="AI89" i="1" l="1"/>
  <c r="AJ88" i="1" s="1"/>
  <c r="AK88" i="1" s="1"/>
  <c r="AG91" i="1"/>
  <c r="AH90" i="1"/>
  <c r="AI90" i="1" l="1"/>
  <c r="AJ89" i="1" s="1"/>
  <c r="AK89" i="1" s="1"/>
  <c r="AG92" i="1"/>
  <c r="AH91" i="1"/>
  <c r="AI91" i="1" l="1"/>
  <c r="AJ90" i="1" s="1"/>
  <c r="AK90" i="1" s="1"/>
  <c r="AG93" i="1"/>
  <c r="AH92" i="1"/>
  <c r="AI92" i="1" l="1"/>
  <c r="AJ91" i="1" s="1"/>
  <c r="AK91" i="1" s="1"/>
  <c r="AG94" i="1"/>
  <c r="AH93" i="1"/>
  <c r="AI93" i="1" l="1"/>
  <c r="AJ92" i="1" s="1"/>
  <c r="AK92" i="1" s="1"/>
  <c r="AG95" i="1"/>
  <c r="AH94" i="1"/>
  <c r="AI94" i="1" l="1"/>
  <c r="AJ93" i="1" s="1"/>
  <c r="AK93" i="1" s="1"/>
  <c r="AG96" i="1"/>
  <c r="AH95" i="1"/>
  <c r="AI95" i="1" l="1"/>
  <c r="AJ94" i="1" s="1"/>
  <c r="AK94" i="1" s="1"/>
  <c r="AG97" i="1"/>
  <c r="AH96" i="1"/>
  <c r="AI96" i="1" l="1"/>
  <c r="AJ95" i="1" s="1"/>
  <c r="AK95" i="1" s="1"/>
  <c r="AG98" i="1"/>
  <c r="AH97" i="1"/>
  <c r="AI97" i="1" l="1"/>
  <c r="AJ96" i="1" s="1"/>
  <c r="AK96" i="1" s="1"/>
  <c r="AG99" i="1"/>
  <c r="AH98" i="1"/>
  <c r="AI98" i="1" l="1"/>
  <c r="AJ97" i="1" s="1"/>
  <c r="AK97" i="1" s="1"/>
  <c r="AG100" i="1"/>
  <c r="AH99" i="1"/>
  <c r="AI99" i="1" l="1"/>
  <c r="AJ98" i="1" s="1"/>
  <c r="AK98" i="1" s="1"/>
  <c r="AG101" i="1"/>
  <c r="AH100" i="1"/>
  <c r="AI100" i="1" l="1"/>
  <c r="AJ99" i="1" s="1"/>
  <c r="AK99" i="1" s="1"/>
  <c r="AG102" i="1"/>
  <c r="AH101" i="1"/>
  <c r="AI101" i="1" l="1"/>
  <c r="AJ100" i="1" s="1"/>
  <c r="AK100" i="1" s="1"/>
  <c r="AG103" i="1"/>
  <c r="AH102" i="1"/>
  <c r="AI102" i="1" l="1"/>
  <c r="AJ101" i="1" s="1"/>
  <c r="AK101" i="1" s="1"/>
  <c r="AG104" i="1"/>
  <c r="AH103" i="1"/>
  <c r="AI103" i="1" l="1"/>
  <c r="AJ102" i="1" s="1"/>
  <c r="AK102" i="1" s="1"/>
  <c r="AG105" i="1"/>
  <c r="AH104" i="1"/>
  <c r="AI104" i="1" l="1"/>
  <c r="AJ103" i="1" s="1"/>
  <c r="AK103" i="1" s="1"/>
  <c r="AG106" i="1"/>
  <c r="AH105" i="1"/>
  <c r="AI105" i="1" l="1"/>
  <c r="AJ104" i="1" s="1"/>
  <c r="AK104" i="1" s="1"/>
  <c r="AG107" i="1"/>
  <c r="AH106" i="1"/>
  <c r="AI106" i="1" l="1"/>
  <c r="AJ105" i="1" s="1"/>
  <c r="AK105" i="1" s="1"/>
  <c r="AG108" i="1"/>
  <c r="AH107" i="1"/>
  <c r="AI107" i="1" l="1"/>
  <c r="AJ106" i="1" s="1"/>
  <c r="AK106" i="1" s="1"/>
  <c r="AG109" i="1"/>
  <c r="AH108" i="1"/>
  <c r="AI108" i="1" l="1"/>
  <c r="AJ107" i="1" s="1"/>
  <c r="AK107" i="1" s="1"/>
  <c r="AG110" i="1"/>
  <c r="AH109" i="1"/>
  <c r="AI109" i="1" l="1"/>
  <c r="AJ108" i="1" s="1"/>
  <c r="AK108" i="1" s="1"/>
  <c r="AG111" i="1"/>
  <c r="AH110" i="1"/>
  <c r="AI110" i="1" l="1"/>
  <c r="AJ109" i="1" s="1"/>
  <c r="AK109" i="1" s="1"/>
  <c r="AG112" i="1"/>
  <c r="AH111" i="1"/>
  <c r="AI111" i="1" l="1"/>
  <c r="AJ110" i="1" s="1"/>
  <c r="AK110" i="1" s="1"/>
  <c r="AG113" i="1"/>
  <c r="AH112" i="1"/>
  <c r="AI112" i="1" l="1"/>
  <c r="AJ111" i="1" s="1"/>
  <c r="AK111" i="1" s="1"/>
  <c r="AG114" i="1"/>
  <c r="AH113" i="1"/>
  <c r="AI113" i="1" l="1"/>
  <c r="AJ112" i="1" s="1"/>
  <c r="AK112" i="1" s="1"/>
  <c r="AG115" i="1"/>
  <c r="AH114" i="1"/>
  <c r="AI114" i="1" l="1"/>
  <c r="AJ113" i="1" s="1"/>
  <c r="AK113" i="1" s="1"/>
  <c r="AG116" i="1"/>
  <c r="AH115" i="1"/>
  <c r="AI115" i="1" l="1"/>
  <c r="AJ114" i="1" s="1"/>
  <c r="AK114" i="1" s="1"/>
  <c r="AG117" i="1"/>
  <c r="AH116" i="1"/>
  <c r="AI116" i="1" l="1"/>
  <c r="AJ115" i="1" s="1"/>
  <c r="AK115" i="1" s="1"/>
  <c r="AG118" i="1"/>
  <c r="AH117" i="1"/>
  <c r="AI117" i="1" l="1"/>
  <c r="AJ116" i="1" s="1"/>
  <c r="AK116" i="1" s="1"/>
  <c r="AG119" i="1"/>
  <c r="AH118" i="1"/>
  <c r="AI118" i="1" l="1"/>
  <c r="AJ117" i="1" s="1"/>
  <c r="AK117" i="1" s="1"/>
  <c r="AG120" i="1"/>
  <c r="AH119" i="1"/>
  <c r="AI119" i="1" l="1"/>
  <c r="AJ118" i="1" s="1"/>
  <c r="AK118" i="1" s="1"/>
  <c r="AG121" i="1"/>
  <c r="AH120" i="1"/>
  <c r="AI120" i="1" l="1"/>
  <c r="AJ119" i="1" s="1"/>
  <c r="AK119" i="1" s="1"/>
  <c r="AG122" i="1"/>
  <c r="AH121" i="1"/>
  <c r="AI121" i="1" l="1"/>
  <c r="AJ120" i="1" s="1"/>
  <c r="AK120" i="1" s="1"/>
  <c r="AG123" i="1"/>
  <c r="AH122" i="1"/>
  <c r="AI122" i="1" l="1"/>
  <c r="AJ121" i="1" s="1"/>
  <c r="AK121" i="1" s="1"/>
  <c r="AG124" i="1"/>
  <c r="AH123" i="1"/>
  <c r="AI123" i="1" l="1"/>
  <c r="AJ122" i="1" s="1"/>
  <c r="AK122" i="1" s="1"/>
  <c r="AG125" i="1"/>
  <c r="AH124" i="1"/>
  <c r="AI124" i="1" l="1"/>
  <c r="AJ123" i="1" s="1"/>
  <c r="AK123" i="1" s="1"/>
  <c r="AG126" i="1"/>
  <c r="AH125" i="1"/>
  <c r="AI125" i="1" l="1"/>
  <c r="AJ124" i="1" s="1"/>
  <c r="AK124" i="1" s="1"/>
  <c r="AG127" i="1"/>
  <c r="AH126" i="1"/>
  <c r="AI126" i="1" l="1"/>
  <c r="AJ125" i="1" s="1"/>
  <c r="AK125" i="1" s="1"/>
  <c r="AG128" i="1"/>
  <c r="AH127" i="1"/>
  <c r="AI127" i="1" l="1"/>
  <c r="AJ126" i="1" s="1"/>
  <c r="AK126" i="1" s="1"/>
  <c r="AG129" i="1"/>
  <c r="AH128" i="1"/>
  <c r="AI128" i="1" l="1"/>
  <c r="AJ127" i="1" s="1"/>
  <c r="AK127" i="1" s="1"/>
  <c r="AG130" i="1"/>
  <c r="AH129" i="1"/>
  <c r="AI129" i="1" l="1"/>
  <c r="AJ128" i="1" s="1"/>
  <c r="AK128" i="1" s="1"/>
  <c r="AG131" i="1"/>
  <c r="AH130" i="1"/>
  <c r="AI130" i="1" l="1"/>
  <c r="AJ129" i="1" s="1"/>
  <c r="AK129" i="1" s="1"/>
  <c r="AG132" i="1"/>
  <c r="AH131" i="1"/>
  <c r="AI131" i="1" l="1"/>
  <c r="AJ130" i="1" s="1"/>
  <c r="AK130" i="1" s="1"/>
  <c r="AG133" i="1"/>
  <c r="AH132" i="1"/>
  <c r="AI132" i="1" l="1"/>
  <c r="AJ131" i="1" s="1"/>
  <c r="AK131" i="1" s="1"/>
  <c r="AG134" i="1"/>
  <c r="AH133" i="1"/>
  <c r="AI133" i="1" l="1"/>
  <c r="AJ132" i="1" s="1"/>
  <c r="AK132" i="1" s="1"/>
  <c r="AG135" i="1"/>
  <c r="AH134" i="1"/>
  <c r="AI134" i="1" l="1"/>
  <c r="AJ133" i="1" s="1"/>
  <c r="AK133" i="1" s="1"/>
  <c r="AG136" i="1"/>
  <c r="AH135" i="1"/>
  <c r="AI135" i="1" l="1"/>
  <c r="AJ134" i="1" s="1"/>
  <c r="AK134" i="1" s="1"/>
  <c r="AG137" i="1"/>
  <c r="AH136" i="1"/>
  <c r="AI136" i="1" l="1"/>
  <c r="AJ135" i="1" s="1"/>
  <c r="AK135" i="1" s="1"/>
  <c r="AG138" i="1"/>
  <c r="AH137" i="1"/>
  <c r="AI137" i="1" l="1"/>
  <c r="AJ136" i="1" s="1"/>
  <c r="AK136" i="1" s="1"/>
  <c r="AG139" i="1"/>
  <c r="AH138" i="1"/>
  <c r="AI138" i="1" l="1"/>
  <c r="AJ137" i="1" s="1"/>
  <c r="AK137" i="1" s="1"/>
  <c r="AG140" i="1"/>
  <c r="AH139" i="1"/>
  <c r="AI139" i="1" l="1"/>
  <c r="AJ138" i="1" s="1"/>
  <c r="AK138" i="1" s="1"/>
  <c r="AG141" i="1"/>
  <c r="AH140" i="1"/>
  <c r="AI140" i="1" l="1"/>
  <c r="AJ139" i="1" s="1"/>
  <c r="AK139" i="1" s="1"/>
  <c r="AG142" i="1"/>
  <c r="AH141" i="1"/>
  <c r="AI141" i="1" l="1"/>
  <c r="AJ140" i="1" s="1"/>
  <c r="AK140" i="1" s="1"/>
  <c r="AG143" i="1"/>
  <c r="AH142" i="1"/>
  <c r="AI142" i="1" l="1"/>
  <c r="AJ141" i="1" s="1"/>
  <c r="AK141" i="1" s="1"/>
  <c r="AG144" i="1"/>
  <c r="AH143" i="1"/>
  <c r="AI143" i="1" l="1"/>
  <c r="AJ142" i="1" s="1"/>
  <c r="AK142" i="1" s="1"/>
  <c r="AG145" i="1"/>
  <c r="AH144" i="1"/>
  <c r="AI144" i="1" l="1"/>
  <c r="AJ143" i="1" s="1"/>
  <c r="AK143" i="1" s="1"/>
  <c r="AG146" i="1"/>
  <c r="AH145" i="1"/>
  <c r="AI145" i="1" l="1"/>
  <c r="AJ144" i="1" s="1"/>
  <c r="AK144" i="1" s="1"/>
  <c r="AG147" i="1"/>
  <c r="AH146" i="1"/>
  <c r="AI146" i="1" l="1"/>
  <c r="AJ145" i="1" s="1"/>
  <c r="AK145" i="1" s="1"/>
  <c r="AG148" i="1"/>
  <c r="AH147" i="1"/>
  <c r="AI147" i="1" l="1"/>
  <c r="AJ146" i="1" s="1"/>
  <c r="AK146" i="1" s="1"/>
  <c r="AG149" i="1"/>
  <c r="AH148" i="1"/>
  <c r="AI148" i="1" l="1"/>
  <c r="AJ147" i="1" s="1"/>
  <c r="AK147" i="1" s="1"/>
  <c r="AG150" i="1"/>
  <c r="AH149" i="1"/>
  <c r="AI149" i="1" l="1"/>
  <c r="AJ148" i="1" s="1"/>
  <c r="AK148" i="1" s="1"/>
  <c r="AG151" i="1"/>
  <c r="AH150" i="1"/>
  <c r="AI150" i="1" l="1"/>
  <c r="AJ149" i="1" s="1"/>
  <c r="AK149" i="1" s="1"/>
  <c r="AG152" i="1"/>
  <c r="AH151" i="1"/>
  <c r="AI151" i="1" l="1"/>
  <c r="AJ150" i="1" s="1"/>
  <c r="AK150" i="1" s="1"/>
  <c r="AG153" i="1"/>
  <c r="AH152" i="1"/>
  <c r="AI152" i="1" l="1"/>
  <c r="AJ151" i="1" s="1"/>
  <c r="AK151" i="1" s="1"/>
  <c r="AG154" i="1"/>
  <c r="AH153" i="1"/>
  <c r="AI153" i="1" l="1"/>
  <c r="AJ152" i="1" s="1"/>
  <c r="AK152" i="1" s="1"/>
  <c r="AG155" i="1"/>
  <c r="AH154" i="1"/>
  <c r="AI154" i="1" l="1"/>
  <c r="AJ153" i="1" s="1"/>
  <c r="AK153" i="1" s="1"/>
  <c r="AG156" i="1"/>
  <c r="AH155" i="1"/>
  <c r="AI155" i="1" l="1"/>
  <c r="AJ154" i="1" s="1"/>
  <c r="AK154" i="1" s="1"/>
  <c r="AG157" i="1"/>
  <c r="AH156" i="1"/>
  <c r="AI156" i="1" l="1"/>
  <c r="AJ155" i="1" s="1"/>
  <c r="AK155" i="1" s="1"/>
  <c r="AG158" i="1"/>
  <c r="AH157" i="1"/>
  <c r="AI157" i="1" l="1"/>
  <c r="AJ156" i="1" s="1"/>
  <c r="AK156" i="1" s="1"/>
  <c r="AG159" i="1"/>
  <c r="AH158" i="1"/>
  <c r="AI158" i="1" l="1"/>
  <c r="AJ157" i="1" s="1"/>
  <c r="AK157" i="1" s="1"/>
  <c r="AG160" i="1"/>
  <c r="AH159" i="1"/>
  <c r="AI159" i="1" l="1"/>
  <c r="AJ158" i="1" s="1"/>
  <c r="AK158" i="1" s="1"/>
  <c r="AG161" i="1"/>
  <c r="AH160" i="1"/>
  <c r="AI160" i="1" l="1"/>
  <c r="AJ159" i="1" s="1"/>
  <c r="AK159" i="1" s="1"/>
  <c r="AG162" i="1"/>
  <c r="AH161" i="1"/>
  <c r="AI161" i="1" l="1"/>
  <c r="AJ160" i="1" s="1"/>
  <c r="AK160" i="1" s="1"/>
  <c r="AG163" i="1"/>
  <c r="AH162" i="1"/>
  <c r="AI162" i="1" l="1"/>
  <c r="AJ161" i="1" s="1"/>
  <c r="AK161" i="1" s="1"/>
  <c r="AG164" i="1"/>
  <c r="AH163" i="1"/>
  <c r="AI163" i="1" l="1"/>
  <c r="AJ162" i="1" s="1"/>
  <c r="AK162" i="1" s="1"/>
  <c r="AG165" i="1"/>
  <c r="AH164" i="1"/>
  <c r="AI164" i="1" l="1"/>
  <c r="AJ163" i="1" s="1"/>
  <c r="AK163" i="1" s="1"/>
  <c r="AG166" i="1"/>
  <c r="AH165" i="1"/>
  <c r="AI165" i="1" l="1"/>
  <c r="AJ164" i="1" s="1"/>
  <c r="AK164" i="1" s="1"/>
  <c r="AG167" i="1"/>
  <c r="AH166" i="1"/>
  <c r="AI166" i="1" l="1"/>
  <c r="AJ165" i="1" s="1"/>
  <c r="AK165" i="1" s="1"/>
  <c r="AG168" i="1"/>
  <c r="AH167" i="1"/>
  <c r="AI167" i="1" l="1"/>
  <c r="AJ166" i="1" s="1"/>
  <c r="AK166" i="1" s="1"/>
  <c r="AG169" i="1"/>
  <c r="AH168" i="1"/>
  <c r="AI168" i="1" l="1"/>
  <c r="AJ167" i="1" s="1"/>
  <c r="AK167" i="1" s="1"/>
  <c r="AG170" i="1"/>
  <c r="AH169" i="1"/>
  <c r="AI169" i="1" l="1"/>
  <c r="AJ168" i="1" s="1"/>
  <c r="AK168" i="1" s="1"/>
  <c r="AG171" i="1"/>
  <c r="AH170" i="1"/>
  <c r="AI170" i="1" l="1"/>
  <c r="AJ169" i="1" s="1"/>
  <c r="AK169" i="1" s="1"/>
  <c r="AG172" i="1"/>
  <c r="AH171" i="1"/>
  <c r="AI171" i="1" l="1"/>
  <c r="AJ170" i="1" s="1"/>
  <c r="AK170" i="1" s="1"/>
  <c r="AG173" i="1"/>
  <c r="AH172" i="1"/>
  <c r="AI172" i="1" l="1"/>
  <c r="AJ171" i="1" s="1"/>
  <c r="AK171" i="1" s="1"/>
  <c r="AG174" i="1"/>
  <c r="AH173" i="1"/>
  <c r="AI173" i="1" l="1"/>
  <c r="AJ172" i="1" s="1"/>
  <c r="AK172" i="1" s="1"/>
  <c r="AG175" i="1"/>
  <c r="AH174" i="1"/>
  <c r="AI174" i="1" l="1"/>
  <c r="AJ173" i="1" s="1"/>
  <c r="AK173" i="1" s="1"/>
  <c r="AG176" i="1"/>
  <c r="AH175" i="1"/>
  <c r="AI175" i="1" l="1"/>
  <c r="AJ174" i="1" s="1"/>
  <c r="AK174" i="1" s="1"/>
  <c r="AG177" i="1"/>
  <c r="AH176" i="1"/>
  <c r="AI176" i="1" l="1"/>
  <c r="AJ175" i="1" s="1"/>
  <c r="AK175" i="1" s="1"/>
  <c r="AG178" i="1"/>
  <c r="AH177" i="1"/>
  <c r="AI177" i="1" l="1"/>
  <c r="AJ176" i="1" s="1"/>
  <c r="AK176" i="1" s="1"/>
  <c r="AG179" i="1"/>
  <c r="AH178" i="1"/>
  <c r="AI178" i="1" l="1"/>
  <c r="AJ177" i="1" s="1"/>
  <c r="AK177" i="1" s="1"/>
  <c r="AG180" i="1"/>
  <c r="AH179" i="1"/>
  <c r="AI179" i="1" l="1"/>
  <c r="AJ178" i="1" s="1"/>
  <c r="AK178" i="1" s="1"/>
  <c r="AG181" i="1"/>
  <c r="AH180" i="1"/>
  <c r="AI180" i="1" l="1"/>
  <c r="AJ179" i="1" s="1"/>
  <c r="AK179" i="1" s="1"/>
  <c r="AG182" i="1"/>
  <c r="AH181" i="1"/>
  <c r="AI181" i="1" l="1"/>
  <c r="AJ180" i="1" s="1"/>
  <c r="AK180" i="1" s="1"/>
  <c r="AG183" i="1"/>
  <c r="AH182" i="1"/>
  <c r="AI182" i="1" l="1"/>
  <c r="AJ181" i="1" s="1"/>
  <c r="AK181" i="1" s="1"/>
  <c r="AG184" i="1"/>
  <c r="AH183" i="1"/>
  <c r="AI183" i="1" l="1"/>
  <c r="AJ182" i="1" s="1"/>
  <c r="AK182" i="1" s="1"/>
  <c r="AG185" i="1"/>
  <c r="AH184" i="1"/>
  <c r="AI184" i="1" l="1"/>
  <c r="AJ183" i="1" s="1"/>
  <c r="AK183" i="1" s="1"/>
  <c r="AG186" i="1"/>
  <c r="AH185" i="1"/>
  <c r="AI185" i="1" l="1"/>
  <c r="AJ184" i="1" s="1"/>
  <c r="AK184" i="1" s="1"/>
  <c r="AG187" i="1"/>
  <c r="AH186" i="1"/>
  <c r="AI186" i="1" l="1"/>
  <c r="AJ185" i="1" s="1"/>
  <c r="AK185" i="1" s="1"/>
  <c r="AG188" i="1"/>
  <c r="AH187" i="1"/>
  <c r="AI187" i="1" l="1"/>
  <c r="AJ186" i="1" s="1"/>
  <c r="AK186" i="1" s="1"/>
  <c r="AG189" i="1"/>
  <c r="AH188" i="1"/>
  <c r="AI188" i="1" l="1"/>
  <c r="AJ187" i="1" s="1"/>
  <c r="AK187" i="1" s="1"/>
  <c r="AG190" i="1"/>
  <c r="AH189" i="1"/>
  <c r="AI189" i="1" l="1"/>
  <c r="AJ188" i="1" s="1"/>
  <c r="AK188" i="1" s="1"/>
  <c r="AG191" i="1"/>
  <c r="AH190" i="1"/>
  <c r="AI190" i="1" l="1"/>
  <c r="AJ189" i="1" s="1"/>
  <c r="AK189" i="1" s="1"/>
  <c r="AG192" i="1"/>
  <c r="AH191" i="1"/>
  <c r="AI191" i="1" l="1"/>
  <c r="AJ190" i="1" s="1"/>
  <c r="AK190" i="1" s="1"/>
  <c r="AG193" i="1"/>
  <c r="AH192" i="1"/>
  <c r="AI192" i="1" l="1"/>
  <c r="AJ191" i="1" s="1"/>
  <c r="AK191" i="1" s="1"/>
  <c r="AG194" i="1"/>
  <c r="AH193" i="1"/>
  <c r="AI193" i="1" l="1"/>
  <c r="AJ192" i="1" s="1"/>
  <c r="AK192" i="1" s="1"/>
  <c r="AG195" i="1"/>
  <c r="AH194" i="1"/>
  <c r="AI194" i="1" l="1"/>
  <c r="AJ193" i="1" s="1"/>
  <c r="AK193" i="1" s="1"/>
  <c r="AG196" i="1"/>
  <c r="AH195" i="1"/>
  <c r="AI195" i="1" l="1"/>
  <c r="AJ194" i="1" s="1"/>
  <c r="AK194" i="1" s="1"/>
  <c r="AG197" i="1"/>
  <c r="AH196" i="1"/>
  <c r="AI196" i="1" l="1"/>
  <c r="AJ195" i="1" s="1"/>
  <c r="AK195" i="1" s="1"/>
  <c r="AG198" i="1"/>
  <c r="AH197" i="1"/>
  <c r="AI197" i="1" l="1"/>
  <c r="AJ196" i="1" s="1"/>
  <c r="AK196" i="1" s="1"/>
  <c r="AG199" i="1"/>
  <c r="AH198" i="1"/>
  <c r="AI198" i="1" l="1"/>
  <c r="AJ197" i="1" s="1"/>
  <c r="AK197" i="1" s="1"/>
  <c r="AG200" i="1"/>
  <c r="AH199" i="1"/>
  <c r="AI199" i="1" l="1"/>
  <c r="AJ198" i="1" s="1"/>
  <c r="AK198" i="1" s="1"/>
  <c r="AG201" i="1"/>
  <c r="AH200" i="1"/>
  <c r="AI200" i="1" l="1"/>
  <c r="AJ199" i="1" s="1"/>
  <c r="AK199" i="1" s="1"/>
  <c r="AG202" i="1"/>
  <c r="AH201" i="1"/>
  <c r="AI201" i="1" l="1"/>
  <c r="AJ200" i="1" s="1"/>
  <c r="AK200" i="1" s="1"/>
  <c r="AG203" i="1"/>
  <c r="AH202" i="1"/>
  <c r="AI202" i="1" s="1"/>
  <c r="AJ201" i="1" l="1"/>
  <c r="AK201" i="1" s="1"/>
  <c r="AG204" i="1"/>
  <c r="AH203" i="1"/>
  <c r="AI203" i="1" s="1"/>
  <c r="AJ202" i="1" l="1"/>
  <c r="AK202" i="1" s="1"/>
  <c r="AG205" i="1"/>
  <c r="AH204" i="1"/>
  <c r="AI204" i="1" s="1"/>
  <c r="AJ203" i="1" s="1"/>
  <c r="AK203" i="1" s="1"/>
  <c r="AG206" i="1" l="1"/>
  <c r="AH205" i="1"/>
  <c r="AI205" i="1" s="1"/>
  <c r="AJ204" i="1" s="1"/>
  <c r="AK204" i="1" s="1"/>
  <c r="AG207" i="1" l="1"/>
  <c r="AH206" i="1"/>
  <c r="AI206" i="1" s="1"/>
  <c r="AJ205" i="1" l="1"/>
  <c r="AK205" i="1" s="1"/>
  <c r="AG208" i="1"/>
  <c r="AH207" i="1"/>
  <c r="AI207" i="1" s="1"/>
  <c r="AJ206" i="1" l="1"/>
  <c r="AK206" i="1" s="1"/>
  <c r="AG209" i="1"/>
  <c r="AH208" i="1"/>
  <c r="AI208" i="1" s="1"/>
  <c r="AJ207" i="1" s="1"/>
  <c r="AK207" i="1" s="1"/>
  <c r="AG210" i="1" l="1"/>
  <c r="AH209" i="1"/>
  <c r="AI209" i="1" s="1"/>
  <c r="AJ208" i="1" s="1"/>
  <c r="AK208" i="1" s="1"/>
  <c r="AG211" i="1" l="1"/>
  <c r="AH210" i="1"/>
  <c r="AI210" i="1" s="1"/>
  <c r="AJ209" i="1" l="1"/>
  <c r="AK209" i="1" s="1"/>
  <c r="AG212" i="1"/>
  <c r="AH211" i="1"/>
  <c r="AI211" i="1" s="1"/>
  <c r="AJ210" i="1" l="1"/>
  <c r="AK210" i="1" s="1"/>
  <c r="AG213" i="1"/>
  <c r="AH212" i="1"/>
  <c r="AI212" i="1" s="1"/>
  <c r="AJ211" i="1" s="1"/>
  <c r="AK211" i="1" s="1"/>
  <c r="AG214" i="1" l="1"/>
  <c r="AH213" i="1"/>
  <c r="AI213" i="1" s="1"/>
  <c r="AJ212" i="1" l="1"/>
  <c r="AK212" i="1" s="1"/>
  <c r="AG215" i="1"/>
  <c r="AH214" i="1"/>
  <c r="AI214" i="1" s="1"/>
  <c r="AJ213" i="1" s="1"/>
  <c r="AK213" i="1" s="1"/>
  <c r="AG216" i="1" l="1"/>
  <c r="AH215" i="1"/>
  <c r="AI215" i="1" s="1"/>
  <c r="AJ214" i="1" l="1"/>
  <c r="AK214" i="1" s="1"/>
  <c r="AG217" i="1"/>
  <c r="AH216" i="1"/>
  <c r="AI216" i="1" s="1"/>
  <c r="AJ215" i="1" l="1"/>
  <c r="AK215" i="1" s="1"/>
  <c r="AG218" i="1"/>
  <c r="AH217" i="1"/>
  <c r="AI217" i="1" s="1"/>
  <c r="AJ216" i="1" s="1"/>
  <c r="AK216" i="1" s="1"/>
  <c r="AG219" i="1" l="1"/>
  <c r="AH218" i="1"/>
  <c r="AI218" i="1" s="1"/>
  <c r="AJ217" i="1" s="1"/>
  <c r="AK217" i="1" s="1"/>
  <c r="AG220" i="1" l="1"/>
  <c r="AH219" i="1"/>
  <c r="AI219" i="1" s="1"/>
  <c r="AJ218" i="1" l="1"/>
  <c r="AK218" i="1" s="1"/>
  <c r="AG221" i="1"/>
  <c r="AH220" i="1"/>
  <c r="AI220" i="1" s="1"/>
  <c r="AJ219" i="1" l="1"/>
  <c r="AK219" i="1" s="1"/>
  <c r="AG222" i="1"/>
  <c r="AH221" i="1"/>
  <c r="AI221" i="1" s="1"/>
  <c r="AJ220" i="1" s="1"/>
  <c r="AK220" i="1" s="1"/>
  <c r="AG223" i="1" l="1"/>
  <c r="AH222" i="1"/>
  <c r="AI222" i="1" s="1"/>
  <c r="AJ221" i="1" s="1"/>
  <c r="AK221" i="1" s="1"/>
  <c r="AG224" i="1" l="1"/>
  <c r="AH223" i="1"/>
  <c r="AI223" i="1" s="1"/>
  <c r="AJ222" i="1" l="1"/>
  <c r="AK222" i="1" s="1"/>
  <c r="AG225" i="1"/>
  <c r="AH224" i="1"/>
  <c r="AI224" i="1" s="1"/>
  <c r="AJ223" i="1" l="1"/>
  <c r="AK223" i="1" s="1"/>
  <c r="AG226" i="1"/>
  <c r="AH225" i="1"/>
  <c r="AI225" i="1" s="1"/>
  <c r="AJ224" i="1" s="1"/>
  <c r="AK224" i="1" s="1"/>
  <c r="AG227" i="1" l="1"/>
  <c r="AH226" i="1"/>
  <c r="AI226" i="1" s="1"/>
  <c r="AJ225" i="1" s="1"/>
  <c r="AK225" i="1" s="1"/>
  <c r="AG228" i="1" l="1"/>
  <c r="AH227" i="1"/>
  <c r="AI227" i="1" s="1"/>
  <c r="AJ226" i="1" l="1"/>
  <c r="AK226" i="1" s="1"/>
  <c r="AG229" i="1"/>
  <c r="AH228" i="1"/>
  <c r="AI228" i="1" s="1"/>
  <c r="AJ227" i="1" l="1"/>
  <c r="AK227" i="1" s="1"/>
  <c r="AG230" i="1"/>
  <c r="AH229" i="1"/>
  <c r="AI229" i="1" s="1"/>
  <c r="AJ228" i="1" s="1"/>
  <c r="AK228" i="1" s="1"/>
  <c r="AG231" i="1" l="1"/>
  <c r="AH230" i="1"/>
  <c r="AI230" i="1" s="1"/>
  <c r="AJ229" i="1" l="1"/>
  <c r="AK229" i="1" s="1"/>
  <c r="AG232" i="1"/>
  <c r="AH231" i="1"/>
  <c r="AI231" i="1" s="1"/>
  <c r="AJ230" i="1" l="1"/>
  <c r="AK230" i="1" s="1"/>
  <c r="AG233" i="1"/>
  <c r="AH232" i="1"/>
  <c r="AI232" i="1" s="1"/>
  <c r="AJ231" i="1" l="1"/>
  <c r="AK231" i="1" s="1"/>
  <c r="AG234" i="1"/>
  <c r="AH233" i="1"/>
  <c r="AI233" i="1" s="1"/>
  <c r="AJ232" i="1" s="1"/>
  <c r="AK232" i="1" s="1"/>
  <c r="AG235" i="1" l="1"/>
  <c r="AH234" i="1"/>
  <c r="AI234" i="1" s="1"/>
  <c r="AJ233" i="1" l="1"/>
  <c r="AK233" i="1" s="1"/>
  <c r="AG236" i="1"/>
  <c r="AH235" i="1"/>
  <c r="AI235" i="1" s="1"/>
  <c r="AJ234" i="1" s="1"/>
  <c r="AK234" i="1" s="1"/>
  <c r="AG237" i="1" l="1"/>
  <c r="AH236" i="1"/>
  <c r="AI236" i="1" s="1"/>
  <c r="AJ235" i="1" s="1"/>
  <c r="AK235" i="1" s="1"/>
  <c r="AG238" i="1" l="1"/>
  <c r="AH237" i="1"/>
  <c r="AI237" i="1" s="1"/>
  <c r="AJ236" i="1" l="1"/>
  <c r="AK236" i="1" s="1"/>
  <c r="AG239" i="1"/>
  <c r="AH238" i="1"/>
  <c r="AI238" i="1" s="1"/>
  <c r="AJ237" i="1" s="1"/>
  <c r="AK237" i="1" s="1"/>
  <c r="AG240" i="1" l="1"/>
  <c r="AH239" i="1"/>
  <c r="AI239" i="1" s="1"/>
  <c r="AJ238" i="1" s="1"/>
  <c r="AK238" i="1" s="1"/>
  <c r="AG241" i="1" l="1"/>
  <c r="AH240" i="1"/>
  <c r="AI240" i="1" s="1"/>
  <c r="AJ239" i="1" s="1"/>
  <c r="AK239" i="1" s="1"/>
  <c r="AG242" i="1" l="1"/>
  <c r="AH241" i="1"/>
  <c r="AI241" i="1" s="1"/>
  <c r="AJ240" i="1" l="1"/>
  <c r="AK240" i="1" s="1"/>
  <c r="AG243" i="1"/>
  <c r="AH242" i="1"/>
  <c r="AI242" i="1" s="1"/>
  <c r="AJ241" i="1" s="1"/>
  <c r="AK241" i="1" s="1"/>
  <c r="AG244" i="1" l="1"/>
  <c r="AH243" i="1"/>
  <c r="AI243" i="1" s="1"/>
  <c r="AJ242" i="1" s="1"/>
  <c r="AK242" i="1" s="1"/>
  <c r="AG245" i="1" l="1"/>
  <c r="AH244" i="1"/>
  <c r="AI244" i="1" s="1"/>
  <c r="AJ243" i="1" l="1"/>
  <c r="AK243" i="1" s="1"/>
  <c r="AG246" i="1"/>
  <c r="AH245" i="1"/>
  <c r="AI245" i="1" s="1"/>
  <c r="AJ244" i="1" l="1"/>
  <c r="AK244" i="1" s="1"/>
  <c r="AG247" i="1"/>
  <c r="AH246" i="1"/>
  <c r="AI246" i="1" s="1"/>
  <c r="AJ245" i="1" s="1"/>
  <c r="AK245" i="1" s="1"/>
  <c r="AG248" i="1" l="1"/>
  <c r="AH247" i="1"/>
  <c r="AI247" i="1" s="1"/>
  <c r="AJ246" i="1" s="1"/>
  <c r="AK246" i="1" s="1"/>
  <c r="AG249" i="1" l="1"/>
  <c r="AH248" i="1"/>
  <c r="AI248" i="1" s="1"/>
  <c r="AJ247" i="1" l="1"/>
  <c r="AK247" i="1" s="1"/>
  <c r="AG250" i="1"/>
  <c r="AH249" i="1"/>
  <c r="AI249" i="1" s="1"/>
  <c r="AJ248" i="1" l="1"/>
  <c r="AK248" i="1" s="1"/>
  <c r="AG251" i="1"/>
  <c r="AH250" i="1"/>
  <c r="AI250" i="1" s="1"/>
  <c r="AJ249" i="1" s="1"/>
  <c r="AK249" i="1" s="1"/>
  <c r="AG252" i="1" l="1"/>
  <c r="AH251" i="1"/>
  <c r="AI251" i="1" s="1"/>
  <c r="AJ250" i="1" s="1"/>
  <c r="AK250" i="1" s="1"/>
  <c r="AG253" i="1" l="1"/>
  <c r="AH252" i="1"/>
  <c r="AI252" i="1" s="1"/>
  <c r="AJ251" i="1" l="1"/>
  <c r="AK251" i="1" s="1"/>
  <c r="AG254" i="1"/>
  <c r="AH253" i="1"/>
  <c r="AI253" i="1" s="1"/>
  <c r="AJ252" i="1" l="1"/>
  <c r="AK252" i="1" s="1"/>
  <c r="AG255" i="1"/>
  <c r="AH254" i="1"/>
  <c r="AI254" i="1" s="1"/>
  <c r="AJ253" i="1" s="1"/>
  <c r="AK253" i="1" s="1"/>
  <c r="AG256" i="1" l="1"/>
  <c r="AH255" i="1"/>
  <c r="AI255" i="1" s="1"/>
  <c r="AJ254" i="1" s="1"/>
  <c r="AK254" i="1" s="1"/>
  <c r="AG257" i="1" l="1"/>
  <c r="AH256" i="1"/>
  <c r="AI256" i="1" s="1"/>
  <c r="AJ255" i="1" l="1"/>
  <c r="AK255" i="1" s="1"/>
  <c r="AG258" i="1"/>
  <c r="AH257" i="1"/>
  <c r="AI257" i="1" s="1"/>
  <c r="AJ256" i="1" l="1"/>
  <c r="AK256" i="1" s="1"/>
  <c r="AG259" i="1"/>
  <c r="AH258" i="1"/>
  <c r="AI258" i="1" s="1"/>
  <c r="AJ257" i="1" l="1"/>
  <c r="AK257" i="1" s="1"/>
  <c r="AG260" i="1"/>
  <c r="AH259" i="1"/>
  <c r="AI259" i="1" s="1"/>
  <c r="AJ258" i="1" s="1"/>
  <c r="AK258" i="1" s="1"/>
  <c r="AG261" i="1" l="1"/>
  <c r="AH260" i="1"/>
  <c r="AI260" i="1" s="1"/>
  <c r="AJ259" i="1" l="1"/>
  <c r="AK259" i="1" s="1"/>
  <c r="AG262" i="1"/>
  <c r="AH261" i="1"/>
  <c r="AI261" i="1" s="1"/>
  <c r="AJ260" i="1" l="1"/>
  <c r="AK260" i="1" s="1"/>
  <c r="AG263" i="1"/>
  <c r="AH262" i="1"/>
  <c r="AI262" i="1" s="1"/>
  <c r="AJ261" i="1" s="1"/>
  <c r="AK261" i="1" s="1"/>
  <c r="AG264" i="1" l="1"/>
  <c r="AH263" i="1"/>
  <c r="AI263" i="1" s="1"/>
  <c r="AJ262" i="1" s="1"/>
  <c r="AK262" i="1" s="1"/>
  <c r="AG265" i="1" l="1"/>
  <c r="AH264" i="1"/>
  <c r="AI264" i="1" s="1"/>
  <c r="AJ263" i="1" l="1"/>
  <c r="AK263" i="1" s="1"/>
  <c r="AG266" i="1"/>
  <c r="AH265" i="1"/>
  <c r="AI265" i="1" s="1"/>
  <c r="AJ264" i="1" l="1"/>
  <c r="AK264" i="1" s="1"/>
  <c r="AG267" i="1"/>
  <c r="AH266" i="1"/>
  <c r="AI266" i="1" s="1"/>
  <c r="AJ265" i="1" s="1"/>
  <c r="AK265" i="1" s="1"/>
  <c r="AG268" i="1" l="1"/>
  <c r="AH267" i="1"/>
  <c r="AI267" i="1" s="1"/>
  <c r="AJ266" i="1" l="1"/>
  <c r="AK266" i="1" s="1"/>
  <c r="AG269" i="1"/>
  <c r="AH268" i="1"/>
  <c r="AI268" i="1" s="1"/>
  <c r="AJ267" i="1" l="1"/>
  <c r="AK267" i="1" s="1"/>
  <c r="AG270" i="1"/>
  <c r="AH269" i="1"/>
  <c r="AI269" i="1" s="1"/>
  <c r="AJ268" i="1" l="1"/>
  <c r="AK268" i="1" s="1"/>
  <c r="AG271" i="1"/>
  <c r="AH270" i="1"/>
  <c r="AI270" i="1" s="1"/>
  <c r="AJ269" i="1" s="1"/>
  <c r="AK269" i="1" s="1"/>
  <c r="AG272" i="1" l="1"/>
  <c r="AH271" i="1"/>
  <c r="AI271" i="1" s="1"/>
  <c r="AJ270" i="1" s="1"/>
  <c r="AK270" i="1" s="1"/>
  <c r="AG273" i="1" l="1"/>
  <c r="AH272" i="1"/>
  <c r="AI272" i="1" s="1"/>
  <c r="AJ271" i="1" l="1"/>
  <c r="AK271" i="1" s="1"/>
  <c r="AG274" i="1"/>
  <c r="AH273" i="1"/>
  <c r="AI273" i="1" s="1"/>
  <c r="AJ272" i="1" l="1"/>
  <c r="AK272" i="1" s="1"/>
  <c r="AG275" i="1"/>
  <c r="AH274" i="1"/>
  <c r="AI274" i="1" s="1"/>
  <c r="AJ273" i="1" s="1"/>
  <c r="AK273" i="1" s="1"/>
  <c r="AG276" i="1" l="1"/>
  <c r="AH275" i="1"/>
  <c r="AI275" i="1" s="1"/>
  <c r="AJ274" i="1" s="1"/>
  <c r="AK274" i="1" s="1"/>
  <c r="AG277" i="1" l="1"/>
  <c r="AH276" i="1"/>
  <c r="AI276" i="1" s="1"/>
  <c r="AJ275" i="1" l="1"/>
  <c r="AK275" i="1" s="1"/>
  <c r="AG278" i="1"/>
  <c r="AH277" i="1"/>
  <c r="AI277" i="1" s="1"/>
  <c r="AJ276" i="1" l="1"/>
  <c r="AK276" i="1" s="1"/>
  <c r="AG279" i="1"/>
  <c r="AH278" i="1"/>
  <c r="AI278" i="1" s="1"/>
  <c r="AJ277" i="1" s="1"/>
  <c r="AK277" i="1" s="1"/>
  <c r="AG280" i="1" l="1"/>
  <c r="AH279" i="1"/>
  <c r="AI279" i="1" s="1"/>
  <c r="AJ278" i="1" s="1"/>
  <c r="AK278" i="1" s="1"/>
  <c r="AG281" i="1" l="1"/>
  <c r="AH280" i="1"/>
  <c r="AI280" i="1" s="1"/>
  <c r="AJ279" i="1" l="1"/>
  <c r="AK279" i="1" s="1"/>
  <c r="AG282" i="1"/>
  <c r="AH281" i="1"/>
  <c r="AI281" i="1" s="1"/>
  <c r="AJ280" i="1" l="1"/>
  <c r="AK280" i="1" s="1"/>
  <c r="AG283" i="1"/>
  <c r="AH282" i="1"/>
  <c r="AI282" i="1" s="1"/>
  <c r="AJ281" i="1" s="1"/>
  <c r="AK281" i="1" s="1"/>
  <c r="AG284" i="1" l="1"/>
  <c r="AH283" i="1"/>
  <c r="AI283" i="1" s="1"/>
  <c r="AJ282" i="1" l="1"/>
  <c r="AK282" i="1" s="1"/>
  <c r="AG285" i="1"/>
  <c r="AH284" i="1"/>
  <c r="AI284" i="1" s="1"/>
  <c r="AJ283" i="1" l="1"/>
  <c r="AK283" i="1" s="1"/>
  <c r="AG286" i="1"/>
  <c r="AH285" i="1"/>
  <c r="AI285" i="1" s="1"/>
  <c r="AJ284" i="1" l="1"/>
  <c r="AK284" i="1" s="1"/>
  <c r="AG287" i="1"/>
  <c r="AH286" i="1"/>
  <c r="AI286" i="1" s="1"/>
  <c r="AJ285" i="1" s="1"/>
  <c r="AK285" i="1" s="1"/>
  <c r="AG288" i="1" l="1"/>
  <c r="AH287" i="1"/>
  <c r="AI287" i="1" s="1"/>
  <c r="AJ286" i="1" s="1"/>
  <c r="AK286" i="1" s="1"/>
  <c r="AG289" i="1" l="1"/>
  <c r="AH288" i="1"/>
  <c r="AI288" i="1" s="1"/>
  <c r="AJ287" i="1" l="1"/>
  <c r="AK287" i="1" s="1"/>
  <c r="AG290" i="1"/>
  <c r="AH289" i="1"/>
  <c r="AI289" i="1" s="1"/>
  <c r="AJ288" i="1" l="1"/>
  <c r="AK288" i="1" s="1"/>
  <c r="AG291" i="1"/>
  <c r="AH290" i="1"/>
  <c r="AI290" i="1" s="1"/>
  <c r="AJ289" i="1" s="1"/>
  <c r="AK289" i="1" s="1"/>
  <c r="AG292" i="1" l="1"/>
  <c r="AH291" i="1"/>
  <c r="AI291" i="1" s="1"/>
  <c r="AJ290" i="1" s="1"/>
  <c r="AK290" i="1" s="1"/>
  <c r="AG293" i="1" l="1"/>
  <c r="AH292" i="1"/>
  <c r="AI292" i="1" s="1"/>
  <c r="AJ291" i="1" l="1"/>
  <c r="AK291" i="1" s="1"/>
  <c r="AG294" i="1"/>
  <c r="AH293" i="1"/>
  <c r="AI293" i="1" s="1"/>
  <c r="AJ292" i="1" l="1"/>
  <c r="AK292" i="1" s="1"/>
  <c r="AG295" i="1"/>
  <c r="AH294" i="1"/>
  <c r="AI294" i="1" s="1"/>
  <c r="AJ293" i="1" s="1"/>
  <c r="AK293" i="1" s="1"/>
  <c r="AG296" i="1" l="1"/>
  <c r="AH295" i="1"/>
  <c r="AI295" i="1" s="1"/>
  <c r="AJ294" i="1" s="1"/>
  <c r="AK294" i="1" s="1"/>
  <c r="AG297" i="1" l="1"/>
  <c r="AH296" i="1"/>
  <c r="AI296" i="1" s="1"/>
  <c r="AJ295" i="1" l="1"/>
  <c r="AK295" i="1" s="1"/>
  <c r="AG298" i="1"/>
  <c r="AH297" i="1"/>
  <c r="AI297" i="1" s="1"/>
  <c r="AJ296" i="1" l="1"/>
  <c r="AK296" i="1" s="1"/>
  <c r="AG299" i="1"/>
  <c r="AH298" i="1"/>
  <c r="AI298" i="1" s="1"/>
  <c r="AJ297" i="1" s="1"/>
  <c r="AK297" i="1" s="1"/>
  <c r="AG300" i="1" l="1"/>
  <c r="AH299" i="1"/>
  <c r="AI299" i="1" s="1"/>
  <c r="AJ298" i="1" l="1"/>
  <c r="AK298" i="1" s="1"/>
  <c r="AG301" i="1"/>
  <c r="AH300" i="1"/>
  <c r="AI300" i="1" s="1"/>
  <c r="AJ299" i="1" l="1"/>
  <c r="AK299" i="1" s="1"/>
  <c r="AG302" i="1"/>
  <c r="AH301" i="1"/>
  <c r="AI301" i="1" s="1"/>
  <c r="AJ300" i="1" l="1"/>
  <c r="AK300" i="1" s="1"/>
  <c r="AG303" i="1"/>
  <c r="AH302" i="1"/>
  <c r="AI302" i="1" s="1"/>
  <c r="AJ301" i="1" s="1"/>
  <c r="AK301" i="1" s="1"/>
  <c r="AG304" i="1" l="1"/>
  <c r="AH303" i="1"/>
  <c r="AI303" i="1" s="1"/>
  <c r="AJ302" i="1" s="1"/>
  <c r="AK302" i="1" s="1"/>
  <c r="AG305" i="1" l="1"/>
  <c r="AH304" i="1"/>
  <c r="AI304" i="1" s="1"/>
  <c r="AJ303" i="1" l="1"/>
  <c r="AK303" i="1" s="1"/>
  <c r="AG306" i="1"/>
  <c r="AH305" i="1"/>
  <c r="AI305" i="1" s="1"/>
  <c r="AJ304" i="1" l="1"/>
  <c r="AK304" i="1" s="1"/>
  <c r="AG307" i="1"/>
  <c r="AH306" i="1"/>
  <c r="AI306" i="1" s="1"/>
  <c r="AJ305" i="1" s="1"/>
  <c r="AK305" i="1" s="1"/>
  <c r="AG308" i="1" l="1"/>
  <c r="AH307" i="1"/>
  <c r="AI307" i="1" s="1"/>
  <c r="AJ306" i="1" s="1"/>
  <c r="AK306" i="1" s="1"/>
  <c r="AG309" i="1" l="1"/>
  <c r="AH308" i="1"/>
  <c r="AI308" i="1" s="1"/>
  <c r="AJ307" i="1" l="1"/>
  <c r="AK307" i="1" s="1"/>
  <c r="AG310" i="1"/>
  <c r="AH309" i="1"/>
  <c r="AI309" i="1" s="1"/>
  <c r="AJ308" i="1" l="1"/>
  <c r="AK308" i="1" s="1"/>
  <c r="AG311" i="1"/>
  <c r="AH310" i="1"/>
  <c r="AI310" i="1" s="1"/>
  <c r="AJ309" i="1" s="1"/>
  <c r="AK309" i="1" s="1"/>
  <c r="AG312" i="1" l="1"/>
  <c r="AH311" i="1"/>
  <c r="AI311" i="1" s="1"/>
  <c r="AJ310" i="1" s="1"/>
  <c r="AK310" i="1" s="1"/>
  <c r="AG313" i="1" l="1"/>
  <c r="AH312" i="1"/>
  <c r="AI312" i="1" s="1"/>
  <c r="AJ311" i="1" l="1"/>
  <c r="AK311" i="1" s="1"/>
  <c r="AG314" i="1"/>
  <c r="AH313" i="1"/>
  <c r="AI313" i="1" s="1"/>
  <c r="AJ312" i="1" l="1"/>
  <c r="AK312" i="1" s="1"/>
  <c r="AG315" i="1"/>
  <c r="AH314" i="1"/>
  <c r="AI314" i="1" s="1"/>
  <c r="AJ313" i="1" s="1"/>
  <c r="AK313" i="1" s="1"/>
  <c r="AG316" i="1" l="1"/>
  <c r="AH315" i="1"/>
  <c r="AI315" i="1" s="1"/>
  <c r="AJ314" i="1" l="1"/>
  <c r="AK314" i="1" s="1"/>
  <c r="AG317" i="1"/>
  <c r="AH316" i="1"/>
  <c r="AI316" i="1" s="1"/>
  <c r="AJ315" i="1" l="1"/>
  <c r="AK315" i="1" s="1"/>
  <c r="AG318" i="1"/>
  <c r="AH317" i="1"/>
  <c r="AI317" i="1" s="1"/>
  <c r="AJ316" i="1" l="1"/>
  <c r="AK316" i="1" s="1"/>
  <c r="AG319" i="1"/>
  <c r="AH318" i="1"/>
  <c r="AI318" i="1" s="1"/>
  <c r="AH319" i="1" l="1"/>
  <c r="AI319" i="1" s="1"/>
  <c r="AJ318" i="1" s="1"/>
  <c r="AK318" i="1" s="1"/>
  <c r="AG320" i="1"/>
  <c r="AJ317" i="1"/>
  <c r="AK317" i="1" s="1"/>
  <c r="AH320" i="1" l="1"/>
  <c r="AI320" i="1" s="1"/>
  <c r="AG321" i="1"/>
  <c r="AG322" i="1" l="1"/>
  <c r="AH321" i="1"/>
  <c r="AI321" i="1" s="1"/>
  <c r="AJ319" i="1"/>
  <c r="AK319" i="1" s="1"/>
  <c r="AJ320" i="1" l="1"/>
  <c r="AK320" i="1" s="1"/>
  <c r="AG323" i="1"/>
  <c r="AH322" i="1"/>
  <c r="AI322" i="1" s="1"/>
  <c r="AH323" i="1" l="1"/>
  <c r="AI323" i="1" s="1"/>
  <c r="AG324" i="1"/>
  <c r="AJ321" i="1"/>
  <c r="AK321" i="1" s="1"/>
  <c r="AH324" i="1" l="1"/>
  <c r="AI324" i="1" s="1"/>
  <c r="AG325" i="1"/>
  <c r="AJ322" i="1"/>
  <c r="AK322" i="1" s="1"/>
  <c r="AJ323" i="1" l="1"/>
  <c r="AK323" i="1" s="1"/>
  <c r="AH325" i="1"/>
  <c r="AI325" i="1" s="1"/>
  <c r="AG326" i="1"/>
  <c r="AH326" i="1" l="1"/>
  <c r="AI326" i="1" s="1"/>
  <c r="AG327" i="1"/>
  <c r="AJ324" i="1"/>
  <c r="AK324" i="1" s="1"/>
  <c r="AJ325" i="1" l="1"/>
  <c r="AK325" i="1" s="1"/>
  <c r="AH327" i="1"/>
  <c r="AI327" i="1" s="1"/>
  <c r="AG328" i="1"/>
  <c r="AG329" i="1" l="1"/>
  <c r="AH328" i="1"/>
  <c r="AI328" i="1" s="1"/>
  <c r="AJ326" i="1"/>
  <c r="AK326" i="1" s="1"/>
  <c r="AJ327" i="1" l="1"/>
  <c r="AK327" i="1" s="1"/>
  <c r="AH329" i="1"/>
  <c r="AI329" i="1" s="1"/>
  <c r="AG330" i="1"/>
  <c r="AH330" i="1" l="1"/>
  <c r="AI330" i="1" s="1"/>
  <c r="AG331" i="1"/>
  <c r="AJ328" i="1"/>
  <c r="AK328" i="1" s="1"/>
  <c r="AH331" i="1" l="1"/>
  <c r="AI331" i="1" s="1"/>
  <c r="AG332" i="1"/>
  <c r="AJ329" i="1"/>
  <c r="AK329" i="1" s="1"/>
  <c r="AH332" i="1" l="1"/>
  <c r="AI332" i="1" s="1"/>
  <c r="AG333" i="1"/>
  <c r="AJ330" i="1"/>
  <c r="AK330" i="1" s="1"/>
  <c r="AJ331" i="1" l="1"/>
  <c r="AK331" i="1" s="1"/>
  <c r="AH333" i="1"/>
  <c r="AI333" i="1" s="1"/>
  <c r="AG334" i="1"/>
  <c r="AH334" i="1" l="1"/>
  <c r="AI334" i="1" s="1"/>
  <c r="AG335" i="1"/>
  <c r="AJ332" i="1"/>
  <c r="AK332" i="1" s="1"/>
  <c r="AH335" i="1" l="1"/>
  <c r="AI335" i="1" s="1"/>
  <c r="AG336" i="1"/>
  <c r="AJ333" i="1"/>
  <c r="AK333" i="1" s="1"/>
  <c r="AJ334" i="1" l="1"/>
  <c r="AK334" i="1" s="1"/>
  <c r="AH336" i="1"/>
  <c r="AI336" i="1" s="1"/>
  <c r="AG337" i="1"/>
  <c r="AH337" i="1" l="1"/>
  <c r="AI337" i="1" s="1"/>
  <c r="AG338" i="1"/>
  <c r="AJ335" i="1"/>
  <c r="AK335" i="1" s="1"/>
  <c r="AH338" i="1" l="1"/>
  <c r="AI338" i="1" s="1"/>
  <c r="AG339" i="1"/>
  <c r="AJ336" i="1"/>
  <c r="AK336" i="1" s="1"/>
  <c r="AJ337" i="1" l="1"/>
  <c r="AK337" i="1" s="1"/>
  <c r="AH339" i="1"/>
  <c r="AI339" i="1" s="1"/>
  <c r="AG340" i="1"/>
  <c r="AH340" i="1" l="1"/>
  <c r="AI340" i="1" s="1"/>
  <c r="AG341" i="1"/>
  <c r="AJ338" i="1"/>
  <c r="AK338" i="1" s="1"/>
  <c r="AJ339" i="1" l="1"/>
  <c r="AK339" i="1" s="1"/>
  <c r="AG342" i="1"/>
  <c r="AH341" i="1"/>
  <c r="AI341" i="1" s="1"/>
  <c r="AJ340" i="1" l="1"/>
  <c r="AK340" i="1" s="1"/>
  <c r="AH342" i="1"/>
  <c r="AI342" i="1" s="1"/>
  <c r="AG343" i="1"/>
  <c r="AH343" i="1" l="1"/>
  <c r="AI343" i="1" s="1"/>
  <c r="AG344" i="1"/>
  <c r="AJ341" i="1"/>
  <c r="AK341" i="1" s="1"/>
  <c r="AJ342" i="1" l="1"/>
  <c r="AK342" i="1" s="1"/>
  <c r="AH344" i="1"/>
  <c r="AI344" i="1" s="1"/>
  <c r="AG345" i="1"/>
  <c r="AH345" i="1" l="1"/>
  <c r="AI345" i="1" s="1"/>
  <c r="AG346" i="1"/>
  <c r="AJ343" i="1"/>
  <c r="AK343" i="1" s="1"/>
  <c r="AJ344" i="1" l="1"/>
  <c r="AK344" i="1" s="1"/>
  <c r="AH346" i="1"/>
  <c r="AI346" i="1" s="1"/>
  <c r="AG347" i="1"/>
  <c r="AG348" i="1" l="1"/>
  <c r="AH347" i="1"/>
  <c r="AI347" i="1" s="1"/>
  <c r="AJ345" i="1"/>
  <c r="AK345" i="1" s="1"/>
  <c r="AG349" i="1" l="1"/>
  <c r="AH348" i="1"/>
  <c r="AI348" i="1" s="1"/>
  <c r="AJ346" i="1"/>
  <c r="AK346" i="1" s="1"/>
  <c r="AJ347" i="1" l="1"/>
  <c r="AK347" i="1" s="1"/>
  <c r="AH349" i="1"/>
  <c r="AI349" i="1" s="1"/>
  <c r="AG350" i="1"/>
  <c r="AJ348" i="1" l="1"/>
  <c r="AK348" i="1" s="1"/>
  <c r="AG351" i="1"/>
  <c r="AH350" i="1"/>
  <c r="AI350" i="1" s="1"/>
  <c r="AJ349" i="1" l="1"/>
  <c r="AK349" i="1" s="1"/>
  <c r="AG352" i="1"/>
  <c r="AH351" i="1"/>
  <c r="AI351" i="1" s="1"/>
  <c r="AJ350" i="1" l="1"/>
  <c r="AK350" i="1" s="1"/>
  <c r="AG353" i="1"/>
  <c r="AH352" i="1"/>
  <c r="AI352" i="1" s="1"/>
  <c r="AJ351" i="1" l="1"/>
  <c r="AK351" i="1" s="1"/>
  <c r="AH353" i="1"/>
  <c r="AI353" i="1" s="1"/>
  <c r="AG354" i="1"/>
  <c r="AJ352" i="1" l="1"/>
  <c r="AK352" i="1" s="1"/>
  <c r="AG355" i="1"/>
  <c r="AH354" i="1"/>
  <c r="AI354" i="1" s="1"/>
  <c r="AJ353" i="1" l="1"/>
  <c r="AK353" i="1" s="1"/>
  <c r="AG356" i="1"/>
  <c r="AH355" i="1"/>
  <c r="AI355" i="1" s="1"/>
  <c r="AJ354" i="1" l="1"/>
  <c r="AK354" i="1" s="1"/>
  <c r="AH356" i="1"/>
  <c r="AI356" i="1" s="1"/>
  <c r="AG357" i="1"/>
  <c r="AH357" i="1" l="1"/>
  <c r="AI357" i="1" s="1"/>
  <c r="AG358" i="1"/>
  <c r="AJ355" i="1"/>
  <c r="AK355" i="1" s="1"/>
  <c r="AH358" i="1" l="1"/>
  <c r="AI358" i="1" s="1"/>
  <c r="AG359" i="1"/>
  <c r="AJ356" i="1"/>
  <c r="AK356" i="1" s="1"/>
  <c r="AJ357" i="1" l="1"/>
  <c r="AK357" i="1" s="1"/>
  <c r="AH359" i="1"/>
  <c r="AI359" i="1" s="1"/>
  <c r="AG360" i="1"/>
  <c r="AH360" i="1" l="1"/>
  <c r="AI360" i="1" s="1"/>
  <c r="AG361" i="1"/>
  <c r="AJ358" i="1"/>
  <c r="AK358" i="1" s="1"/>
  <c r="AJ359" i="1" l="1"/>
  <c r="AK359" i="1" s="1"/>
  <c r="AH361" i="1"/>
  <c r="AI361" i="1" s="1"/>
  <c r="AG362" i="1"/>
  <c r="AH362" i="1" l="1"/>
  <c r="AI362" i="1" s="1"/>
  <c r="AG363" i="1"/>
  <c r="AJ360" i="1"/>
  <c r="AK360" i="1" s="1"/>
  <c r="AJ361" i="1" l="1"/>
  <c r="AK361" i="1" s="1"/>
  <c r="AH363" i="1"/>
  <c r="AI363" i="1" s="1"/>
  <c r="AG364" i="1"/>
  <c r="AG365" i="1" l="1"/>
  <c r="AH364" i="1"/>
  <c r="AI364" i="1" s="1"/>
  <c r="AJ362" i="1"/>
  <c r="AK362" i="1" s="1"/>
  <c r="AJ363" i="1" l="1"/>
  <c r="AK363" i="1" s="1"/>
  <c r="AG366" i="1"/>
  <c r="AH365" i="1"/>
  <c r="AI365" i="1" s="1"/>
  <c r="AJ364" i="1" l="1"/>
  <c r="AK364" i="1" s="1"/>
  <c r="AG367" i="1"/>
  <c r="AH366" i="1"/>
  <c r="AI366" i="1" s="1"/>
  <c r="AJ365" i="1" l="1"/>
  <c r="AK365" i="1" s="1"/>
  <c r="AH367" i="1"/>
  <c r="AI367" i="1" s="1"/>
  <c r="AG368" i="1"/>
  <c r="AG369" i="1" l="1"/>
  <c r="AH368" i="1"/>
  <c r="AI368" i="1" s="1"/>
  <c r="AJ366" i="1"/>
  <c r="AK366" i="1" s="1"/>
  <c r="AG370" i="1" l="1"/>
  <c r="AH369" i="1"/>
  <c r="AI369" i="1" s="1"/>
  <c r="AJ367" i="1"/>
  <c r="AK367" i="1" s="1"/>
  <c r="AJ368" i="1" l="1"/>
  <c r="AK368" i="1" s="1"/>
  <c r="AG371" i="1"/>
  <c r="AH370" i="1"/>
  <c r="AI370" i="1" s="1"/>
  <c r="AJ369" i="1" l="1"/>
  <c r="AK369" i="1" s="1"/>
  <c r="AG372" i="1"/>
  <c r="AH371" i="1"/>
  <c r="AI371" i="1" s="1"/>
  <c r="AG373" i="1" l="1"/>
  <c r="AH372" i="1"/>
  <c r="AI372" i="1" s="1"/>
  <c r="AJ370" i="1"/>
  <c r="AK370" i="1" s="1"/>
  <c r="AJ371" i="1" l="1"/>
  <c r="AK371" i="1" s="1"/>
  <c r="AH373" i="1"/>
  <c r="AI373" i="1" s="1"/>
  <c r="AG374" i="1"/>
  <c r="AH374" i="1" l="1"/>
  <c r="AI374" i="1" s="1"/>
  <c r="AG375" i="1"/>
  <c r="AJ372" i="1"/>
  <c r="AK372" i="1" s="1"/>
  <c r="AJ373" i="1" l="1"/>
  <c r="AK373" i="1" s="1"/>
  <c r="AH375" i="1"/>
  <c r="AI375" i="1" s="1"/>
  <c r="AG376" i="1"/>
  <c r="AJ374" i="1" l="1"/>
  <c r="AK374" i="1" s="1"/>
  <c r="AH376" i="1"/>
  <c r="AI376" i="1" s="1"/>
  <c r="AG377" i="1"/>
  <c r="AH377" i="1" l="1"/>
  <c r="AI377" i="1" s="1"/>
  <c r="AG378" i="1"/>
  <c r="AJ375" i="1"/>
  <c r="AK375" i="1" s="1"/>
  <c r="AJ376" i="1" l="1"/>
  <c r="AK376" i="1" s="1"/>
  <c r="AG379" i="1"/>
  <c r="AH378" i="1"/>
  <c r="AI378" i="1" s="1"/>
  <c r="AJ377" i="1" l="1"/>
  <c r="AK377" i="1" s="1"/>
  <c r="AG380" i="1"/>
  <c r="AH379" i="1"/>
  <c r="AI379" i="1" s="1"/>
  <c r="AH380" i="1" l="1"/>
  <c r="AI380" i="1" s="1"/>
  <c r="AG381" i="1"/>
  <c r="AJ378" i="1"/>
  <c r="AK378" i="1" s="1"/>
  <c r="AJ379" i="1" l="1"/>
  <c r="AK379" i="1" s="1"/>
  <c r="AH381" i="1"/>
  <c r="AI381" i="1" s="1"/>
  <c r="AG382" i="1"/>
  <c r="AH382" i="1" l="1"/>
  <c r="AI382" i="1" s="1"/>
  <c r="AG383" i="1"/>
  <c r="AJ380" i="1"/>
  <c r="AK380" i="1" s="1"/>
  <c r="AJ381" i="1" l="1"/>
  <c r="AK381" i="1" s="1"/>
  <c r="AG384" i="1"/>
  <c r="AH383" i="1"/>
  <c r="AI383" i="1" s="1"/>
  <c r="AJ382" i="1" l="1"/>
  <c r="AK382" i="1" s="1"/>
  <c r="AG385" i="1"/>
  <c r="AH384" i="1"/>
  <c r="AI384" i="1" s="1"/>
  <c r="AJ383" i="1" l="1"/>
  <c r="AK383" i="1" s="1"/>
  <c r="AH385" i="1"/>
  <c r="AI385" i="1" s="1"/>
  <c r="AG386" i="1"/>
  <c r="AH386" i="1" l="1"/>
  <c r="AI386" i="1" s="1"/>
  <c r="AG387" i="1"/>
  <c r="AJ384" i="1"/>
  <c r="AK384" i="1" s="1"/>
  <c r="AJ385" i="1" l="1"/>
  <c r="AK385" i="1" s="1"/>
  <c r="AH387" i="1"/>
  <c r="AI387" i="1" s="1"/>
  <c r="AG388" i="1"/>
  <c r="AG389" i="1" l="1"/>
  <c r="AH388" i="1"/>
  <c r="AI388" i="1" s="1"/>
  <c r="AJ386" i="1"/>
  <c r="AK386" i="1" s="1"/>
  <c r="AJ387" i="1" l="1"/>
  <c r="AK387" i="1" s="1"/>
  <c r="AH389" i="1"/>
  <c r="AI389" i="1" s="1"/>
  <c r="AG390" i="1"/>
  <c r="AH390" i="1" l="1"/>
  <c r="AI390" i="1" s="1"/>
  <c r="AG391" i="1"/>
  <c r="AJ388" i="1"/>
  <c r="AK388" i="1" s="1"/>
  <c r="AH391" i="1" l="1"/>
  <c r="AI391" i="1" s="1"/>
  <c r="AG392" i="1"/>
  <c r="AJ389" i="1"/>
  <c r="AK389" i="1" s="1"/>
  <c r="AJ390" i="1" l="1"/>
  <c r="AK390" i="1" s="1"/>
  <c r="AH392" i="1"/>
  <c r="AI392" i="1" s="1"/>
  <c r="AG393" i="1"/>
  <c r="AH393" i="1" l="1"/>
  <c r="AI393" i="1" s="1"/>
  <c r="AG394" i="1"/>
  <c r="AJ391" i="1"/>
  <c r="AK391" i="1" s="1"/>
  <c r="AH394" i="1" l="1"/>
  <c r="AI394" i="1" s="1"/>
  <c r="AG395" i="1"/>
  <c r="AJ392" i="1"/>
  <c r="AK392" i="1" s="1"/>
  <c r="AH395" i="1" l="1"/>
  <c r="AI395" i="1" s="1"/>
  <c r="AG396" i="1"/>
  <c r="AJ393" i="1"/>
  <c r="AK393" i="1" s="1"/>
  <c r="AG397" i="1" l="1"/>
  <c r="AH396" i="1"/>
  <c r="AI396" i="1" s="1"/>
  <c r="AJ394" i="1"/>
  <c r="AK394" i="1" s="1"/>
  <c r="AH397" i="1" l="1"/>
  <c r="AI397" i="1" s="1"/>
  <c r="AG398" i="1"/>
  <c r="AJ395" i="1"/>
  <c r="AK395" i="1" s="1"/>
  <c r="AJ396" i="1" l="1"/>
  <c r="AK396" i="1" s="1"/>
  <c r="AH398" i="1"/>
  <c r="AI398" i="1" s="1"/>
  <c r="AG399" i="1"/>
  <c r="AH399" i="1" l="1"/>
  <c r="AI399" i="1" s="1"/>
  <c r="AG400" i="1"/>
  <c r="AJ397" i="1"/>
  <c r="AK397" i="1" s="1"/>
  <c r="AJ398" i="1" l="1"/>
  <c r="AK398" i="1" s="1"/>
  <c r="AH400" i="1"/>
  <c r="AI400" i="1" s="1"/>
  <c r="AG401" i="1"/>
  <c r="AG402" i="1" l="1"/>
  <c r="AH401" i="1"/>
  <c r="AI401" i="1" s="1"/>
  <c r="AJ399" i="1"/>
  <c r="AK399" i="1" s="1"/>
  <c r="AJ400" i="1" l="1"/>
  <c r="AK400" i="1" s="1"/>
  <c r="AG403" i="1"/>
  <c r="AH402" i="1"/>
  <c r="AI402" i="1" s="1"/>
  <c r="AJ401" i="1" l="1"/>
  <c r="AK401" i="1" s="1"/>
  <c r="AH403" i="1"/>
  <c r="AI403" i="1" s="1"/>
  <c r="AG404" i="1"/>
  <c r="AH404" i="1" l="1"/>
  <c r="AI404" i="1" s="1"/>
  <c r="AG405" i="1"/>
  <c r="AJ402" i="1"/>
  <c r="AK402" i="1" s="1"/>
  <c r="AJ403" i="1" l="1"/>
  <c r="AK403" i="1" s="1"/>
  <c r="AH405" i="1"/>
  <c r="AI405" i="1" s="1"/>
  <c r="AG406" i="1"/>
  <c r="AH406" i="1" l="1"/>
  <c r="AI406" i="1" s="1"/>
  <c r="AG407" i="1"/>
  <c r="AJ404" i="1"/>
  <c r="AK404" i="1" s="1"/>
  <c r="AH407" i="1" l="1"/>
  <c r="AI407" i="1" s="1"/>
  <c r="AG408" i="1"/>
  <c r="AJ405" i="1"/>
  <c r="AK405" i="1" s="1"/>
  <c r="AJ406" i="1" l="1"/>
  <c r="AK406" i="1" s="1"/>
  <c r="AH408" i="1"/>
  <c r="AI408" i="1" s="1"/>
  <c r="AG409" i="1"/>
  <c r="AH409" i="1" l="1"/>
  <c r="AI409" i="1" s="1"/>
  <c r="AG410" i="1"/>
  <c r="AJ407" i="1"/>
  <c r="AK407" i="1" s="1"/>
  <c r="AH410" i="1" l="1"/>
  <c r="AI410" i="1" s="1"/>
  <c r="AG411" i="1"/>
  <c r="AJ408" i="1"/>
  <c r="AK408" i="1" s="1"/>
  <c r="AJ409" i="1" l="1"/>
  <c r="AK409" i="1" s="1"/>
  <c r="AH411" i="1"/>
  <c r="AI411" i="1" s="1"/>
  <c r="AG412" i="1"/>
  <c r="AH412" i="1" l="1"/>
  <c r="AI412" i="1" s="1"/>
  <c r="AG413" i="1"/>
  <c r="AJ410" i="1"/>
  <c r="AK410" i="1" s="1"/>
  <c r="AJ411" i="1" l="1"/>
  <c r="AK411" i="1" s="1"/>
  <c r="AH413" i="1"/>
  <c r="AI413" i="1" s="1"/>
  <c r="AG414" i="1"/>
  <c r="AG415" i="1" l="1"/>
  <c r="AH414" i="1"/>
  <c r="AI414" i="1" s="1"/>
  <c r="AJ412" i="1"/>
  <c r="AK412" i="1" s="1"/>
  <c r="AJ413" i="1" l="1"/>
  <c r="AK413" i="1" s="1"/>
  <c r="AH415" i="1"/>
  <c r="AI415" i="1" s="1"/>
  <c r="AG416" i="1"/>
  <c r="AJ414" i="1" l="1"/>
  <c r="AK414" i="1" s="1"/>
  <c r="AH416" i="1"/>
  <c r="AI416" i="1" s="1"/>
  <c r="AG417" i="1"/>
  <c r="AH417" i="1" l="1"/>
  <c r="AI417" i="1" s="1"/>
  <c r="AG418" i="1"/>
  <c r="AJ415" i="1"/>
  <c r="AK415" i="1" s="1"/>
  <c r="AH418" i="1" l="1"/>
  <c r="AI418" i="1" s="1"/>
  <c r="AG419" i="1"/>
  <c r="AJ416" i="1"/>
  <c r="AK416" i="1" s="1"/>
  <c r="AJ417" i="1" l="1"/>
  <c r="AK417" i="1" s="1"/>
  <c r="AH419" i="1"/>
  <c r="AI419" i="1" s="1"/>
  <c r="AG420" i="1"/>
  <c r="AG421" i="1" l="1"/>
  <c r="AH420" i="1"/>
  <c r="AI420" i="1" s="1"/>
  <c r="AJ418" i="1"/>
  <c r="AK418" i="1" s="1"/>
  <c r="AH421" i="1" l="1"/>
  <c r="AI421" i="1" s="1"/>
  <c r="AG422" i="1"/>
  <c r="AJ419" i="1"/>
  <c r="AK419" i="1" s="1"/>
  <c r="AG423" i="1" l="1"/>
  <c r="AH422" i="1"/>
  <c r="AI422" i="1" s="1"/>
  <c r="AJ420" i="1"/>
  <c r="AK420" i="1" s="1"/>
  <c r="AJ421" i="1" l="1"/>
  <c r="AK421" i="1" s="1"/>
  <c r="AH423" i="1"/>
  <c r="AI423" i="1" s="1"/>
  <c r="AG424" i="1"/>
  <c r="AH424" i="1" l="1"/>
  <c r="AI424" i="1" s="1"/>
  <c r="AG425" i="1"/>
  <c r="AJ422" i="1"/>
  <c r="AK422" i="1" s="1"/>
  <c r="AJ423" i="1" l="1"/>
  <c r="AK423" i="1" s="1"/>
  <c r="AG426" i="1"/>
  <c r="AH425" i="1"/>
  <c r="AI425" i="1" s="1"/>
  <c r="AJ424" i="1" l="1"/>
  <c r="AK424" i="1" s="1"/>
  <c r="AH426" i="1"/>
  <c r="AI426" i="1" s="1"/>
  <c r="AG427" i="1"/>
  <c r="AJ425" i="1" l="1"/>
  <c r="AK425" i="1" s="1"/>
  <c r="AH427" i="1"/>
  <c r="AI427" i="1" s="1"/>
  <c r="AG428" i="1"/>
  <c r="AH428" i="1" l="1"/>
  <c r="AI428" i="1" s="1"/>
  <c r="AG429" i="1"/>
  <c r="AJ426" i="1"/>
  <c r="AK426" i="1" s="1"/>
  <c r="AJ427" i="1" l="1"/>
  <c r="AK427" i="1" s="1"/>
  <c r="AH429" i="1"/>
  <c r="AI429" i="1" s="1"/>
  <c r="AG430" i="1"/>
  <c r="AG431" i="1" l="1"/>
  <c r="AH430" i="1"/>
  <c r="AI430" i="1" s="1"/>
  <c r="AJ428" i="1"/>
  <c r="AK428" i="1" s="1"/>
  <c r="AJ429" i="1" l="1"/>
  <c r="AK429" i="1" s="1"/>
  <c r="AG432" i="1"/>
  <c r="AH431" i="1"/>
  <c r="AI431" i="1" s="1"/>
  <c r="AJ430" i="1" l="1"/>
  <c r="AK430" i="1" s="1"/>
  <c r="AG433" i="1"/>
  <c r="AH432" i="1"/>
  <c r="AI432" i="1" s="1"/>
  <c r="AJ431" i="1" l="1"/>
  <c r="AK431" i="1" s="1"/>
  <c r="AG434" i="1"/>
  <c r="AH433" i="1"/>
  <c r="AI433" i="1" s="1"/>
  <c r="AJ432" i="1" l="1"/>
  <c r="AK432" i="1" s="1"/>
  <c r="AG435" i="1"/>
  <c r="AH434" i="1"/>
  <c r="AI434" i="1" s="1"/>
  <c r="AJ433" i="1" l="1"/>
  <c r="AK433" i="1" s="1"/>
  <c r="AG436" i="1"/>
  <c r="AH435" i="1"/>
  <c r="AI435" i="1" s="1"/>
  <c r="AH436" i="1" l="1"/>
  <c r="AI436" i="1" s="1"/>
  <c r="AG437" i="1"/>
  <c r="AJ434" i="1"/>
  <c r="AK434" i="1" s="1"/>
  <c r="AH437" i="1" l="1"/>
  <c r="AI437" i="1" s="1"/>
  <c r="AG438" i="1"/>
  <c r="AJ435" i="1"/>
  <c r="AK435" i="1" s="1"/>
  <c r="AJ436" i="1" l="1"/>
  <c r="AK436" i="1" s="1"/>
  <c r="AG439" i="1"/>
  <c r="AH438" i="1"/>
  <c r="AI438" i="1" s="1"/>
  <c r="AJ437" i="1" l="1"/>
  <c r="AK437" i="1" s="1"/>
  <c r="AG440" i="1"/>
  <c r="AH439" i="1"/>
  <c r="AI439" i="1" s="1"/>
  <c r="AJ438" i="1" l="1"/>
  <c r="AK438" i="1" s="1"/>
  <c r="AH440" i="1"/>
  <c r="AI440" i="1" s="1"/>
  <c r="AG441" i="1"/>
  <c r="AG442" i="1" l="1"/>
  <c r="AH441" i="1"/>
  <c r="AI441" i="1" s="1"/>
  <c r="AJ439" i="1"/>
  <c r="AK439" i="1" s="1"/>
  <c r="AH442" i="1" l="1"/>
  <c r="AI442" i="1" s="1"/>
  <c r="AG443" i="1"/>
  <c r="AJ440" i="1"/>
  <c r="AK440" i="1" s="1"/>
  <c r="AH443" i="1" l="1"/>
  <c r="AI443" i="1" s="1"/>
  <c r="AG444" i="1"/>
  <c r="AJ441" i="1"/>
  <c r="AK441" i="1" s="1"/>
  <c r="AJ442" i="1" l="1"/>
  <c r="AK442" i="1" s="1"/>
  <c r="AH444" i="1"/>
  <c r="AI444" i="1" s="1"/>
  <c r="AG445" i="1"/>
  <c r="AH445" i="1" l="1"/>
  <c r="AI445" i="1" s="1"/>
  <c r="AG446" i="1"/>
  <c r="AJ443" i="1"/>
  <c r="AK443" i="1" s="1"/>
  <c r="AJ444" i="1" l="1"/>
  <c r="AK444" i="1" s="1"/>
  <c r="AH446" i="1"/>
  <c r="AI446" i="1" s="1"/>
  <c r="AG447" i="1"/>
  <c r="AG448" i="1" l="1"/>
  <c r="AH447" i="1"/>
  <c r="AI447" i="1" s="1"/>
  <c r="AJ445" i="1"/>
  <c r="AK445" i="1" s="1"/>
  <c r="AJ446" i="1" l="1"/>
  <c r="AK446" i="1" s="1"/>
  <c r="AG449" i="1"/>
  <c r="AH448" i="1"/>
  <c r="AI448" i="1" s="1"/>
  <c r="AJ447" i="1" l="1"/>
  <c r="AK447" i="1" s="1"/>
  <c r="AG450" i="1"/>
  <c r="AH449" i="1"/>
  <c r="AI449" i="1" s="1"/>
  <c r="AJ448" i="1" l="1"/>
  <c r="AK448" i="1" s="1"/>
  <c r="AH450" i="1"/>
  <c r="AI450" i="1" s="1"/>
  <c r="AG451" i="1"/>
  <c r="AG452" i="1" l="1"/>
  <c r="AH451" i="1"/>
  <c r="AI451" i="1" s="1"/>
  <c r="AJ449" i="1"/>
  <c r="AK449" i="1" s="1"/>
  <c r="AG453" i="1" l="1"/>
  <c r="AH452" i="1"/>
  <c r="AI452" i="1" s="1"/>
  <c r="AJ450" i="1"/>
  <c r="AK450" i="1" s="1"/>
  <c r="AJ451" i="1" l="1"/>
  <c r="AK451" i="1" s="1"/>
  <c r="AH453" i="1"/>
  <c r="AI453" i="1" s="1"/>
  <c r="AG454" i="1"/>
  <c r="AJ452" i="1" l="1"/>
  <c r="AK452" i="1" s="1"/>
  <c r="AG455" i="1"/>
  <c r="AH454" i="1"/>
  <c r="AI454" i="1" s="1"/>
  <c r="AJ453" i="1" l="1"/>
  <c r="AK453" i="1" s="1"/>
  <c r="AG456" i="1"/>
  <c r="AH455" i="1"/>
  <c r="AI455" i="1" s="1"/>
  <c r="AJ454" i="1" l="1"/>
  <c r="AK454" i="1" s="1"/>
  <c r="AH456" i="1"/>
  <c r="AI456" i="1" s="1"/>
  <c r="AG457" i="1"/>
  <c r="AG458" i="1" l="1"/>
  <c r="AH457" i="1"/>
  <c r="AI457" i="1" s="1"/>
  <c r="AJ455" i="1"/>
  <c r="AK455" i="1" s="1"/>
  <c r="AJ456" i="1" l="1"/>
  <c r="AK456" i="1" s="1"/>
  <c r="AH458" i="1"/>
  <c r="AI458" i="1" s="1"/>
  <c r="AG459" i="1"/>
  <c r="AJ457" i="1" l="1"/>
  <c r="AK457" i="1" s="1"/>
  <c r="AH459" i="1"/>
  <c r="AI459" i="1" s="1"/>
  <c r="AG460" i="1"/>
  <c r="AG461" i="1" l="1"/>
  <c r="AH460" i="1"/>
  <c r="AI460" i="1" s="1"/>
  <c r="AJ458" i="1"/>
  <c r="AK458" i="1" s="1"/>
  <c r="AJ459" i="1" l="1"/>
  <c r="AK459" i="1" s="1"/>
  <c r="AH461" i="1"/>
  <c r="AI461" i="1" s="1"/>
  <c r="AG462" i="1"/>
  <c r="AJ460" i="1" l="1"/>
  <c r="AK460" i="1" s="1"/>
  <c r="AH462" i="1"/>
  <c r="AI462" i="1" s="1"/>
  <c r="AG463" i="1"/>
  <c r="AJ461" i="1" l="1"/>
  <c r="AK461" i="1" s="1"/>
  <c r="AH463" i="1"/>
  <c r="AI463" i="1" s="1"/>
  <c r="AG464" i="1"/>
  <c r="AJ462" i="1" l="1"/>
  <c r="AK462" i="1" s="1"/>
  <c r="AH464" i="1"/>
  <c r="AI464" i="1" s="1"/>
  <c r="AG465" i="1"/>
  <c r="AJ463" i="1" l="1"/>
  <c r="AK463" i="1" s="1"/>
  <c r="AH465" i="1"/>
  <c r="AI465" i="1" s="1"/>
  <c r="AG466" i="1"/>
  <c r="AJ464" i="1" l="1"/>
  <c r="AK464" i="1" s="1"/>
  <c r="AG467" i="1"/>
  <c r="AH466" i="1"/>
  <c r="AI466" i="1" s="1"/>
  <c r="AJ465" i="1" l="1"/>
  <c r="AK465" i="1" s="1"/>
  <c r="AG468" i="1"/>
  <c r="AH467" i="1"/>
  <c r="AI467" i="1" s="1"/>
  <c r="AJ466" i="1" l="1"/>
  <c r="AK466" i="1" s="1"/>
  <c r="AH468" i="1"/>
  <c r="AI468" i="1" s="1"/>
  <c r="AG469" i="1"/>
  <c r="AJ467" i="1" l="1"/>
  <c r="AK467" i="1" s="1"/>
  <c r="AH469" i="1"/>
  <c r="AI469" i="1" s="1"/>
  <c r="AG470" i="1"/>
  <c r="AJ468" i="1" l="1"/>
  <c r="AK468" i="1" s="1"/>
  <c r="AH470" i="1"/>
  <c r="AI470" i="1" s="1"/>
  <c r="AG471" i="1"/>
  <c r="AJ469" i="1" l="1"/>
  <c r="AK469" i="1" s="1"/>
  <c r="AH471" i="1"/>
  <c r="AI471" i="1" s="1"/>
  <c r="AG472" i="1"/>
  <c r="AH472" i="1" l="1"/>
  <c r="AI472" i="1" s="1"/>
  <c r="AG473" i="1"/>
  <c r="AJ470" i="1"/>
  <c r="AK470" i="1" s="1"/>
  <c r="AJ471" i="1" l="1"/>
  <c r="AK471" i="1" s="1"/>
  <c r="AH473" i="1"/>
  <c r="AI473" i="1" s="1"/>
  <c r="AG474" i="1"/>
  <c r="AH474" i="1" l="1"/>
  <c r="AI474" i="1" s="1"/>
  <c r="AG475" i="1"/>
  <c r="AJ472" i="1"/>
  <c r="AK472" i="1" s="1"/>
  <c r="AJ473" i="1" l="1"/>
  <c r="AK473" i="1" s="1"/>
  <c r="AH475" i="1"/>
  <c r="AI475" i="1" s="1"/>
  <c r="AG476" i="1"/>
  <c r="AJ474" i="1" l="1"/>
  <c r="AK474" i="1" s="1"/>
  <c r="AH476" i="1"/>
  <c r="AI476" i="1" s="1"/>
  <c r="AG477" i="1"/>
  <c r="AJ475" i="1" l="1"/>
  <c r="AK475" i="1" s="1"/>
  <c r="AH477" i="1"/>
  <c r="AI477" i="1" s="1"/>
  <c r="AG478" i="1"/>
  <c r="AJ476" i="1" l="1"/>
  <c r="AK476" i="1" s="1"/>
  <c r="AH478" i="1"/>
  <c r="AI478" i="1" s="1"/>
  <c r="AG479" i="1"/>
  <c r="AJ477" i="1" l="1"/>
  <c r="AK477" i="1" s="1"/>
  <c r="AH479" i="1"/>
  <c r="AI479" i="1" s="1"/>
  <c r="AG480" i="1"/>
  <c r="AJ478" i="1" l="1"/>
  <c r="AK478" i="1" s="1"/>
  <c r="AH480" i="1"/>
  <c r="AI480" i="1" s="1"/>
  <c r="AG481" i="1"/>
  <c r="AJ479" i="1" l="1"/>
  <c r="AK479" i="1" s="1"/>
  <c r="AH481" i="1"/>
  <c r="AI481" i="1" s="1"/>
  <c r="AG482" i="1"/>
  <c r="AJ480" i="1" l="1"/>
  <c r="AK480" i="1" s="1"/>
  <c r="AH482" i="1"/>
  <c r="AI482" i="1" s="1"/>
  <c r="AG483" i="1"/>
  <c r="AJ481" i="1" l="1"/>
  <c r="AK481" i="1" s="1"/>
  <c r="AH483" i="1"/>
  <c r="AI483" i="1" s="1"/>
  <c r="AG484" i="1"/>
  <c r="AJ482" i="1" l="1"/>
  <c r="AK482" i="1" s="1"/>
  <c r="AH484" i="1"/>
  <c r="AI484" i="1" s="1"/>
  <c r="AG485" i="1"/>
  <c r="AJ483" i="1" l="1"/>
  <c r="AK483" i="1" s="1"/>
  <c r="AH485" i="1"/>
  <c r="AI485" i="1" s="1"/>
  <c r="AG486" i="1"/>
  <c r="AJ484" i="1" l="1"/>
  <c r="AK484" i="1" s="1"/>
  <c r="AH486" i="1"/>
  <c r="AI486" i="1" s="1"/>
  <c r="AG487" i="1"/>
  <c r="AJ485" i="1" l="1"/>
  <c r="AK485" i="1" s="1"/>
  <c r="AG488" i="1"/>
  <c r="AH487" i="1"/>
  <c r="AI487" i="1" s="1"/>
  <c r="AJ486" i="1" l="1"/>
  <c r="AK486" i="1" s="1"/>
  <c r="AH488" i="1"/>
  <c r="AI488" i="1" s="1"/>
  <c r="AG489" i="1"/>
  <c r="AH489" i="1" l="1"/>
  <c r="AI489" i="1" s="1"/>
  <c r="AG490" i="1"/>
  <c r="AJ487" i="1"/>
  <c r="AK487" i="1" s="1"/>
  <c r="AH490" i="1" l="1"/>
  <c r="AI490" i="1" s="1"/>
  <c r="AG491" i="1"/>
  <c r="AJ488" i="1"/>
  <c r="AK488" i="1" s="1"/>
  <c r="AH491" i="1" l="1"/>
  <c r="AI491" i="1" s="1"/>
  <c r="AG492" i="1"/>
  <c r="AJ489" i="1"/>
  <c r="AK489" i="1" s="1"/>
  <c r="AH492" i="1" l="1"/>
  <c r="AI492" i="1" s="1"/>
  <c r="AG493" i="1"/>
  <c r="AJ490" i="1"/>
  <c r="AK490" i="1" s="1"/>
  <c r="AH493" i="1" l="1"/>
  <c r="AI493" i="1" s="1"/>
  <c r="AG494" i="1"/>
  <c r="AJ491" i="1"/>
  <c r="AK491" i="1" s="1"/>
  <c r="AH494" i="1" l="1"/>
  <c r="AI494" i="1" s="1"/>
  <c r="AG495" i="1"/>
  <c r="AJ492" i="1"/>
  <c r="AK492" i="1" s="1"/>
  <c r="AG496" i="1" l="1"/>
  <c r="AH495" i="1"/>
  <c r="AI495" i="1" s="1"/>
  <c r="AJ493" i="1"/>
  <c r="AK493" i="1" s="1"/>
  <c r="AJ494" i="1" l="1"/>
  <c r="AK494" i="1" s="1"/>
  <c r="AH496" i="1"/>
  <c r="AI496" i="1" s="1"/>
  <c r="AG497" i="1"/>
  <c r="AJ495" i="1" l="1"/>
  <c r="AK495" i="1" s="1"/>
  <c r="AH497" i="1"/>
  <c r="AI497" i="1" s="1"/>
  <c r="AG498" i="1"/>
  <c r="AJ496" i="1" l="1"/>
  <c r="AK496" i="1" s="1"/>
  <c r="AH498" i="1"/>
  <c r="AI498" i="1" s="1"/>
  <c r="AG499" i="1"/>
  <c r="AG500" i="1" l="1"/>
  <c r="AH499" i="1"/>
  <c r="AI499" i="1" s="1"/>
  <c r="AJ497" i="1"/>
  <c r="AK497" i="1" s="1"/>
  <c r="AJ498" i="1" l="1"/>
  <c r="AK498" i="1" s="1"/>
  <c r="AH500" i="1"/>
  <c r="AI500" i="1" s="1"/>
  <c r="AG501" i="1"/>
  <c r="AH501" i="1" l="1"/>
  <c r="AI501" i="1" s="1"/>
  <c r="AG502" i="1"/>
  <c r="AJ499" i="1"/>
  <c r="AK499" i="1" s="1"/>
  <c r="AH502" i="1" l="1"/>
  <c r="AI502" i="1" s="1"/>
  <c r="AG503" i="1"/>
  <c r="AJ500" i="1"/>
  <c r="AK500" i="1" s="1"/>
  <c r="AH503" i="1" l="1"/>
  <c r="AI503" i="1" s="1"/>
  <c r="AG504" i="1"/>
  <c r="AJ501" i="1"/>
  <c r="AK501" i="1" s="1"/>
  <c r="AG505" i="1" l="1"/>
  <c r="AH504" i="1"/>
  <c r="AI504" i="1" s="1"/>
  <c r="AJ502" i="1"/>
  <c r="AK502" i="1" s="1"/>
  <c r="AJ503" i="1" l="1"/>
  <c r="AK503" i="1" s="1"/>
  <c r="AH505" i="1"/>
  <c r="AI505" i="1" s="1"/>
  <c r="AG506" i="1"/>
  <c r="AH506" i="1" l="1"/>
  <c r="AI506" i="1" s="1"/>
  <c r="AG507" i="1"/>
  <c r="AJ504" i="1"/>
  <c r="AK504" i="1" s="1"/>
  <c r="AG508" i="1" l="1"/>
  <c r="AH507" i="1"/>
  <c r="AI507" i="1" s="1"/>
  <c r="AJ505" i="1"/>
  <c r="AK505" i="1" s="1"/>
  <c r="AH508" i="1" l="1"/>
  <c r="AI508" i="1" s="1"/>
  <c r="AG509" i="1"/>
  <c r="AJ506" i="1"/>
  <c r="AK506" i="1" s="1"/>
  <c r="AJ507" i="1" l="1"/>
  <c r="AK507" i="1" s="1"/>
  <c r="AH509" i="1"/>
  <c r="AI509" i="1" s="1"/>
  <c r="AG510" i="1"/>
  <c r="AJ508" i="1" l="1"/>
  <c r="AK508" i="1" s="1"/>
  <c r="AH510" i="1"/>
  <c r="AI510" i="1" s="1"/>
  <c r="AG511" i="1"/>
  <c r="AJ509" i="1" l="1"/>
  <c r="AK509" i="1" s="1"/>
  <c r="AH511" i="1"/>
  <c r="AI511" i="1" s="1"/>
  <c r="AG512" i="1"/>
  <c r="AH512" i="1" l="1"/>
  <c r="AI512" i="1" s="1"/>
  <c r="AG513" i="1"/>
  <c r="AJ510" i="1"/>
  <c r="AK510" i="1" s="1"/>
  <c r="AJ511" i="1" l="1"/>
  <c r="AK511" i="1" s="1"/>
  <c r="AH513" i="1"/>
  <c r="AI513" i="1" s="1"/>
  <c r="AG514" i="1"/>
  <c r="AH514" i="1" l="1"/>
  <c r="AI514" i="1" s="1"/>
  <c r="AG515" i="1"/>
  <c r="AJ512" i="1"/>
  <c r="AK512" i="1" s="1"/>
  <c r="AJ513" i="1" l="1"/>
  <c r="AK513" i="1" s="1"/>
  <c r="AH515" i="1"/>
  <c r="AI515" i="1" s="1"/>
  <c r="AG516" i="1"/>
  <c r="AJ514" i="1" l="1"/>
  <c r="AK514" i="1" s="1"/>
  <c r="AG517" i="1"/>
  <c r="AH516" i="1"/>
  <c r="AI516" i="1" s="1"/>
  <c r="AJ515" i="1" l="1"/>
  <c r="AK515" i="1" s="1"/>
  <c r="AG518" i="1"/>
  <c r="AH517" i="1"/>
  <c r="AI517" i="1" s="1"/>
  <c r="AJ516" i="1" l="1"/>
  <c r="AK516" i="1" s="1"/>
  <c r="AH518" i="1"/>
  <c r="AI518" i="1" s="1"/>
  <c r="AG519" i="1"/>
  <c r="AJ517" i="1" l="1"/>
  <c r="AK517" i="1" s="1"/>
  <c r="AH519" i="1"/>
  <c r="AI519" i="1" s="1"/>
  <c r="AG520" i="1"/>
  <c r="AJ518" i="1" l="1"/>
  <c r="AK518" i="1" s="1"/>
  <c r="AG521" i="1"/>
  <c r="AH520" i="1"/>
  <c r="AI520" i="1" s="1"/>
  <c r="AJ519" i="1" l="1"/>
  <c r="AK519" i="1" s="1"/>
  <c r="AG522" i="1"/>
  <c r="AH521" i="1"/>
  <c r="AI521" i="1" s="1"/>
  <c r="AJ520" i="1" l="1"/>
  <c r="AK520" i="1" s="1"/>
  <c r="AH522" i="1"/>
  <c r="AI522" i="1" s="1"/>
  <c r="AG523" i="1"/>
  <c r="AJ521" i="1" l="1"/>
  <c r="AK521" i="1" s="1"/>
  <c r="AG524" i="1"/>
  <c r="AH523" i="1"/>
  <c r="AI523" i="1" s="1"/>
  <c r="AJ522" i="1" l="1"/>
  <c r="AK522" i="1" s="1"/>
  <c r="AH524" i="1"/>
  <c r="AI524" i="1" s="1"/>
  <c r="AG525" i="1"/>
  <c r="AJ523" i="1" l="1"/>
  <c r="AK523" i="1" s="1"/>
  <c r="AH525" i="1"/>
  <c r="AI525" i="1" s="1"/>
  <c r="AG526" i="1"/>
  <c r="AH526" i="1" l="1"/>
  <c r="AI526" i="1" s="1"/>
  <c r="AG527" i="1"/>
  <c r="AJ524" i="1"/>
  <c r="AK524" i="1" s="1"/>
  <c r="AG528" i="1" l="1"/>
  <c r="AH527" i="1"/>
  <c r="AI527" i="1" s="1"/>
  <c r="AJ525" i="1"/>
  <c r="AK525" i="1" s="1"/>
  <c r="AJ526" i="1" l="1"/>
  <c r="AK526" i="1" s="1"/>
  <c r="AH528" i="1"/>
  <c r="AI528" i="1" s="1"/>
  <c r="AG529" i="1"/>
  <c r="AH529" i="1" l="1"/>
  <c r="AI529" i="1" s="1"/>
  <c r="AG530" i="1"/>
  <c r="AJ527" i="1"/>
  <c r="AK527" i="1" s="1"/>
  <c r="AJ528" i="1" l="1"/>
  <c r="AK528" i="1" s="1"/>
  <c r="AH530" i="1"/>
  <c r="AI530" i="1" s="1"/>
  <c r="AG531" i="1"/>
  <c r="AJ529" i="1" l="1"/>
  <c r="AK529" i="1" s="1"/>
  <c r="AG532" i="1"/>
  <c r="AH531" i="1"/>
  <c r="AI531" i="1" s="1"/>
  <c r="AJ530" i="1" l="1"/>
  <c r="AK530" i="1" s="1"/>
  <c r="AH532" i="1"/>
  <c r="AI532" i="1" s="1"/>
  <c r="AG533" i="1"/>
  <c r="AJ531" i="1" l="1"/>
  <c r="AK531" i="1" s="1"/>
  <c r="AH533" i="1"/>
  <c r="AI533" i="1" s="1"/>
  <c r="AG534" i="1"/>
  <c r="AJ532" i="1" l="1"/>
  <c r="AK532" i="1" s="1"/>
  <c r="AH534" i="1"/>
  <c r="AI534" i="1" s="1"/>
  <c r="AG535" i="1"/>
  <c r="AJ533" i="1" l="1"/>
  <c r="AK533" i="1" s="1"/>
  <c r="AG536" i="1"/>
  <c r="AH535" i="1"/>
  <c r="AI535" i="1" s="1"/>
  <c r="AJ534" i="1" l="1"/>
  <c r="AK534" i="1" s="1"/>
  <c r="AH536" i="1"/>
  <c r="AI536" i="1" s="1"/>
  <c r="AG537" i="1"/>
  <c r="AJ535" i="1" l="1"/>
  <c r="AK535" i="1" s="1"/>
  <c r="AG538" i="1"/>
  <c r="AH537" i="1"/>
  <c r="AI537" i="1" s="1"/>
  <c r="AJ536" i="1" l="1"/>
  <c r="AK536" i="1" s="1"/>
  <c r="AG539" i="1"/>
  <c r="AH538" i="1"/>
  <c r="AI538" i="1" s="1"/>
  <c r="AJ537" i="1" l="1"/>
  <c r="AK537" i="1" s="1"/>
  <c r="AG540" i="1"/>
  <c r="AH539" i="1"/>
  <c r="AI539" i="1" s="1"/>
  <c r="AJ538" i="1" l="1"/>
  <c r="AK538" i="1" s="1"/>
  <c r="AH540" i="1"/>
  <c r="AI540" i="1" s="1"/>
  <c r="AG541" i="1"/>
  <c r="AG542" i="1" l="1"/>
  <c r="AH541" i="1"/>
  <c r="AI541" i="1" s="1"/>
  <c r="AJ539" i="1"/>
  <c r="AK539" i="1" s="1"/>
  <c r="AH542" i="1" l="1"/>
  <c r="AI542" i="1" s="1"/>
  <c r="AG543" i="1"/>
  <c r="AJ540" i="1"/>
  <c r="AK540" i="1" s="1"/>
  <c r="AJ541" i="1" l="1"/>
  <c r="AK541" i="1" s="1"/>
  <c r="AH543" i="1"/>
  <c r="AI543" i="1" s="1"/>
  <c r="AG544" i="1"/>
  <c r="AJ542" i="1" l="1"/>
  <c r="AK542" i="1" s="1"/>
  <c r="AH544" i="1"/>
  <c r="AI544" i="1" s="1"/>
  <c r="AG545" i="1"/>
  <c r="AJ543" i="1" l="1"/>
  <c r="AK543" i="1" s="1"/>
  <c r="AH545" i="1"/>
  <c r="AI545" i="1" s="1"/>
  <c r="AG546" i="1"/>
  <c r="AJ544" i="1" l="1"/>
  <c r="AK544" i="1" s="1"/>
  <c r="AH546" i="1"/>
  <c r="AI546" i="1" s="1"/>
  <c r="AG547" i="1"/>
  <c r="AJ545" i="1" l="1"/>
  <c r="AK545" i="1" s="1"/>
  <c r="AG548" i="1"/>
  <c r="AH547" i="1"/>
  <c r="AI547" i="1" s="1"/>
  <c r="AJ546" i="1" l="1"/>
  <c r="AK546" i="1" s="1"/>
  <c r="AH548" i="1"/>
  <c r="AI548" i="1" s="1"/>
  <c r="AG549" i="1"/>
  <c r="AJ547" i="1" l="1"/>
  <c r="AK547" i="1" s="1"/>
  <c r="AH549" i="1"/>
  <c r="AI549" i="1" s="1"/>
  <c r="AG550" i="1"/>
  <c r="AJ548" i="1" l="1"/>
  <c r="AK548" i="1" s="1"/>
  <c r="AH550" i="1"/>
  <c r="AI550" i="1" s="1"/>
  <c r="AG551" i="1"/>
  <c r="AJ549" i="1" l="1"/>
  <c r="AK549" i="1" s="1"/>
  <c r="AH551" i="1"/>
  <c r="AI551" i="1" s="1"/>
  <c r="AG552" i="1"/>
  <c r="AJ550" i="1" l="1"/>
  <c r="AK550" i="1" s="1"/>
  <c r="AH552" i="1"/>
  <c r="AI552" i="1" s="1"/>
  <c r="AG553" i="1"/>
  <c r="AJ551" i="1" l="1"/>
  <c r="AK551" i="1" s="1"/>
  <c r="AH553" i="1"/>
  <c r="AI553" i="1" s="1"/>
  <c r="AG554" i="1"/>
  <c r="AH554" i="1" l="1"/>
  <c r="AI554" i="1" s="1"/>
  <c r="AG555" i="1"/>
  <c r="AJ552" i="1"/>
  <c r="AK552" i="1" s="1"/>
  <c r="AJ553" i="1" l="1"/>
  <c r="AK553" i="1" s="1"/>
  <c r="AH555" i="1"/>
  <c r="AI555" i="1" s="1"/>
  <c r="AG556" i="1"/>
  <c r="AJ554" i="1" l="1"/>
  <c r="AK554" i="1" s="1"/>
  <c r="AG557" i="1"/>
  <c r="AH556" i="1"/>
  <c r="AI556" i="1" s="1"/>
  <c r="AJ555" i="1" l="1"/>
  <c r="AK555" i="1" s="1"/>
  <c r="AH557" i="1"/>
  <c r="AI557" i="1" s="1"/>
  <c r="AG558" i="1"/>
  <c r="AJ556" i="1" l="1"/>
  <c r="AK556" i="1" s="1"/>
  <c r="AH558" i="1"/>
  <c r="AI558" i="1" s="1"/>
  <c r="AG559" i="1"/>
  <c r="AJ557" i="1" l="1"/>
  <c r="AK557" i="1" s="1"/>
  <c r="AH559" i="1"/>
  <c r="AI559" i="1" s="1"/>
  <c r="AG560" i="1"/>
  <c r="AJ558" i="1" l="1"/>
  <c r="AK558" i="1" s="1"/>
  <c r="AG561" i="1"/>
  <c r="AH560" i="1"/>
  <c r="AI560" i="1" s="1"/>
  <c r="AJ559" i="1" l="1"/>
  <c r="AK559" i="1" s="1"/>
  <c r="AH561" i="1"/>
  <c r="AI561" i="1" s="1"/>
  <c r="AG562" i="1"/>
  <c r="AJ560" i="1" l="1"/>
  <c r="AK560" i="1" s="1"/>
  <c r="AH562" i="1"/>
  <c r="AI562" i="1" s="1"/>
  <c r="AG563" i="1"/>
  <c r="AJ561" i="1" l="1"/>
  <c r="AK561" i="1" s="1"/>
  <c r="AH563" i="1"/>
  <c r="AI563" i="1" s="1"/>
  <c r="AG564" i="1"/>
  <c r="AJ562" i="1" l="1"/>
  <c r="AK562" i="1" s="1"/>
  <c r="AH564" i="1"/>
  <c r="AI564" i="1" s="1"/>
  <c r="AG565" i="1"/>
  <c r="AJ563" i="1" l="1"/>
  <c r="AK563" i="1" s="1"/>
  <c r="AH565" i="1"/>
  <c r="AI565" i="1" s="1"/>
  <c r="AG566" i="1"/>
  <c r="AJ564" i="1" l="1"/>
  <c r="AK564" i="1" s="1"/>
  <c r="AG567" i="1"/>
  <c r="AH566" i="1"/>
  <c r="AI566" i="1" s="1"/>
  <c r="AJ565" i="1" l="1"/>
  <c r="AK565" i="1" s="1"/>
  <c r="AH567" i="1"/>
  <c r="AI567" i="1" s="1"/>
  <c r="AG568" i="1"/>
  <c r="AH568" i="1" l="1"/>
  <c r="AI568" i="1" s="1"/>
  <c r="AG569" i="1"/>
  <c r="AJ566" i="1"/>
  <c r="AK566" i="1" s="1"/>
  <c r="AH569" i="1" l="1"/>
  <c r="AI569" i="1" s="1"/>
  <c r="AG570" i="1"/>
  <c r="AJ567" i="1"/>
  <c r="AK567" i="1" s="1"/>
  <c r="AH570" i="1" l="1"/>
  <c r="AI570" i="1" s="1"/>
  <c r="AG571" i="1"/>
  <c r="AJ568" i="1"/>
  <c r="AK568" i="1" s="1"/>
  <c r="AH571" i="1" l="1"/>
  <c r="AI571" i="1" s="1"/>
  <c r="AG572" i="1"/>
  <c r="AJ569" i="1"/>
  <c r="AK569" i="1" s="1"/>
  <c r="AH572" i="1" l="1"/>
  <c r="AI572" i="1" s="1"/>
  <c r="AG573" i="1"/>
  <c r="AJ570" i="1"/>
  <c r="AK570" i="1" s="1"/>
  <c r="AH573" i="1" l="1"/>
  <c r="AI573" i="1" s="1"/>
  <c r="AG574" i="1"/>
  <c r="AJ571" i="1"/>
  <c r="AK571" i="1" s="1"/>
  <c r="AH574" i="1" l="1"/>
  <c r="AI574" i="1" s="1"/>
  <c r="AG575" i="1"/>
  <c r="AJ572" i="1"/>
  <c r="AK572" i="1" s="1"/>
  <c r="AH575" i="1" l="1"/>
  <c r="AI575" i="1" s="1"/>
  <c r="AG576" i="1"/>
  <c r="AJ573" i="1"/>
  <c r="AK573" i="1" s="1"/>
  <c r="AH576" i="1" l="1"/>
  <c r="AI576" i="1" s="1"/>
  <c r="AG577" i="1"/>
  <c r="AJ574" i="1"/>
  <c r="AK574" i="1" s="1"/>
  <c r="AH577" i="1" l="1"/>
  <c r="AI577" i="1" s="1"/>
  <c r="AG578" i="1"/>
  <c r="AJ575" i="1"/>
  <c r="AK575" i="1" s="1"/>
  <c r="AH578" i="1" l="1"/>
  <c r="AI578" i="1" s="1"/>
  <c r="AG579" i="1"/>
  <c r="AJ576" i="1"/>
  <c r="AK576" i="1" s="1"/>
  <c r="AH579" i="1" l="1"/>
  <c r="AI579" i="1" s="1"/>
  <c r="AG580" i="1"/>
  <c r="AJ577" i="1"/>
  <c r="AK577" i="1" s="1"/>
  <c r="AH580" i="1" l="1"/>
  <c r="AI580" i="1" s="1"/>
  <c r="AG581" i="1"/>
  <c r="AJ578" i="1"/>
  <c r="AK578" i="1" s="1"/>
  <c r="AH581" i="1" l="1"/>
  <c r="AI581" i="1" s="1"/>
  <c r="AG582" i="1"/>
  <c r="AJ579" i="1"/>
  <c r="AK579" i="1" s="1"/>
  <c r="AH582" i="1" l="1"/>
  <c r="AI582" i="1" s="1"/>
  <c r="AG583" i="1"/>
  <c r="AJ580" i="1"/>
  <c r="AK580" i="1" s="1"/>
  <c r="AH583" i="1" l="1"/>
  <c r="AI583" i="1" s="1"/>
  <c r="AG584" i="1"/>
  <c r="AJ581" i="1"/>
  <c r="AK581" i="1" s="1"/>
  <c r="AH584" i="1" l="1"/>
  <c r="AI584" i="1" s="1"/>
  <c r="AG585" i="1"/>
  <c r="AJ582" i="1"/>
  <c r="AK582" i="1" s="1"/>
  <c r="AH585" i="1" l="1"/>
  <c r="AI585" i="1" s="1"/>
  <c r="AG586" i="1"/>
  <c r="AJ583" i="1"/>
  <c r="AK583" i="1" s="1"/>
  <c r="AH586" i="1" l="1"/>
  <c r="AI586" i="1" s="1"/>
  <c r="AG587" i="1"/>
  <c r="AJ584" i="1"/>
  <c r="AK584" i="1" s="1"/>
  <c r="AH587" i="1" l="1"/>
  <c r="AI587" i="1" s="1"/>
  <c r="AG588" i="1"/>
  <c r="AJ585" i="1"/>
  <c r="AK585" i="1" s="1"/>
  <c r="AH588" i="1" l="1"/>
  <c r="AI588" i="1" s="1"/>
  <c r="AG589" i="1"/>
  <c r="AJ586" i="1"/>
  <c r="AK586" i="1" s="1"/>
  <c r="AH589" i="1" l="1"/>
  <c r="AI589" i="1" s="1"/>
  <c r="AG590" i="1"/>
  <c r="AJ587" i="1"/>
  <c r="AK587" i="1" s="1"/>
  <c r="AG591" i="1" l="1"/>
  <c r="AH590" i="1"/>
  <c r="AI590" i="1" s="1"/>
  <c r="AJ588" i="1"/>
  <c r="AK588" i="1" s="1"/>
  <c r="AJ589" i="1" l="1"/>
  <c r="AK589" i="1" s="1"/>
  <c r="AH591" i="1"/>
  <c r="AI591" i="1" s="1"/>
  <c r="AG592" i="1"/>
  <c r="AJ590" i="1" l="1"/>
  <c r="AK590" i="1" s="1"/>
  <c r="AH592" i="1"/>
  <c r="AI592" i="1" s="1"/>
  <c r="AG593" i="1"/>
  <c r="AJ591" i="1" l="1"/>
  <c r="AK591" i="1" s="1"/>
  <c r="AH593" i="1"/>
  <c r="AI593" i="1" s="1"/>
  <c r="AG594" i="1"/>
  <c r="AJ592" i="1" l="1"/>
  <c r="AK592" i="1" s="1"/>
  <c r="AG595" i="1"/>
  <c r="AH594" i="1"/>
  <c r="AI594" i="1" s="1"/>
  <c r="AJ593" i="1" l="1"/>
  <c r="AK593" i="1" s="1"/>
  <c r="AH595" i="1"/>
  <c r="AI595" i="1" s="1"/>
  <c r="AG596" i="1"/>
  <c r="AJ594" i="1" l="1"/>
  <c r="AK594" i="1" s="1"/>
  <c r="AH596" i="1"/>
  <c r="AI596" i="1" s="1"/>
  <c r="AG597" i="1"/>
  <c r="AJ595" i="1" l="1"/>
  <c r="AK595" i="1" s="1"/>
  <c r="AH597" i="1"/>
  <c r="AI597" i="1" s="1"/>
  <c r="AG598" i="1"/>
  <c r="AJ596" i="1" l="1"/>
  <c r="AK596" i="1" s="1"/>
  <c r="AH598" i="1"/>
  <c r="AI598" i="1" s="1"/>
  <c r="AG599" i="1"/>
  <c r="AJ597" i="1" l="1"/>
  <c r="AK597" i="1" s="1"/>
  <c r="AH599" i="1"/>
  <c r="AI599" i="1" s="1"/>
  <c r="AG600" i="1"/>
  <c r="AH600" i="1" l="1"/>
  <c r="AI600" i="1" s="1"/>
  <c r="AG601" i="1"/>
  <c r="AJ598" i="1"/>
  <c r="AK598" i="1" s="1"/>
  <c r="AJ599" i="1" l="1"/>
  <c r="AK599" i="1" s="1"/>
  <c r="AH601" i="1"/>
  <c r="AI601" i="1" s="1"/>
  <c r="AG602" i="1"/>
  <c r="AJ600" i="1" l="1"/>
  <c r="AK600" i="1" s="1"/>
  <c r="AH602" i="1"/>
  <c r="AI602" i="1" s="1"/>
  <c r="AG603" i="1"/>
  <c r="AJ601" i="1" l="1"/>
  <c r="AK601" i="1" s="1"/>
  <c r="AG604" i="1"/>
  <c r="AH603" i="1"/>
  <c r="AI603" i="1" s="1"/>
  <c r="AJ602" i="1" l="1"/>
  <c r="AK602" i="1" s="1"/>
  <c r="AG605" i="1"/>
  <c r="AH604" i="1"/>
  <c r="AI604" i="1" s="1"/>
  <c r="AJ603" i="1" l="1"/>
  <c r="AK603" i="1" s="1"/>
  <c r="AH605" i="1"/>
  <c r="AI605" i="1" s="1"/>
  <c r="AG606" i="1"/>
  <c r="AJ604" i="1" l="1"/>
  <c r="AK604" i="1" s="1"/>
  <c r="AG607" i="1"/>
  <c r="AH606" i="1"/>
  <c r="AI606" i="1" s="1"/>
  <c r="AJ605" i="1" l="1"/>
  <c r="AK605" i="1" s="1"/>
  <c r="AG608" i="1"/>
  <c r="AH607" i="1"/>
  <c r="AI607" i="1" s="1"/>
  <c r="AJ606" i="1" l="1"/>
  <c r="AK606" i="1" s="1"/>
  <c r="AG609" i="1"/>
  <c r="AH608" i="1"/>
  <c r="AI608" i="1" s="1"/>
  <c r="AJ607" i="1" l="1"/>
  <c r="AK607" i="1" s="1"/>
  <c r="AH609" i="1"/>
  <c r="AI609" i="1" s="1"/>
  <c r="AG610" i="1"/>
  <c r="AH610" i="1" l="1"/>
  <c r="AI610" i="1" s="1"/>
  <c r="AG611" i="1"/>
  <c r="AJ608" i="1"/>
  <c r="AK608" i="1" s="1"/>
  <c r="AJ609" i="1" l="1"/>
  <c r="AK609" i="1" s="1"/>
  <c r="AH611" i="1"/>
  <c r="AI611" i="1" s="1"/>
  <c r="AG612" i="1"/>
  <c r="AJ610" i="1" l="1"/>
  <c r="AK610" i="1" s="1"/>
  <c r="AG613" i="1"/>
  <c r="AH612" i="1"/>
  <c r="AI612" i="1" s="1"/>
  <c r="AJ611" i="1" l="1"/>
  <c r="AK611" i="1" s="1"/>
  <c r="AH613" i="1"/>
  <c r="AI613" i="1" s="1"/>
  <c r="AG614" i="1"/>
  <c r="AG615" i="1" l="1"/>
  <c r="AH614" i="1"/>
  <c r="AI614" i="1" s="1"/>
  <c r="AJ612" i="1"/>
  <c r="AK612" i="1" s="1"/>
  <c r="AH615" i="1" l="1"/>
  <c r="AI615" i="1" s="1"/>
  <c r="AG616" i="1"/>
  <c r="AJ613" i="1"/>
  <c r="AK613" i="1" s="1"/>
  <c r="AJ614" i="1" l="1"/>
  <c r="AK614" i="1" s="1"/>
  <c r="AH616" i="1"/>
  <c r="AI616" i="1" s="1"/>
  <c r="AG617" i="1"/>
  <c r="AJ615" i="1" l="1"/>
  <c r="AK615" i="1" s="1"/>
  <c r="AH617" i="1"/>
  <c r="AI617" i="1" s="1"/>
  <c r="AG618" i="1"/>
  <c r="AJ616" i="1" l="1"/>
  <c r="AK616" i="1" s="1"/>
  <c r="AH618" i="1"/>
  <c r="AI618" i="1" s="1"/>
  <c r="AG619" i="1"/>
  <c r="AJ617" i="1" l="1"/>
  <c r="AK617" i="1" s="1"/>
  <c r="AG620" i="1"/>
  <c r="AH619" i="1"/>
  <c r="AI619" i="1" s="1"/>
  <c r="AJ618" i="1" l="1"/>
  <c r="AK618" i="1" s="1"/>
  <c r="AH620" i="1"/>
  <c r="AI620" i="1" s="1"/>
  <c r="AG621" i="1"/>
  <c r="AJ619" i="1" l="1"/>
  <c r="AK619" i="1" s="1"/>
  <c r="AH621" i="1"/>
  <c r="AI621" i="1" s="1"/>
  <c r="AG622" i="1"/>
  <c r="AJ620" i="1" l="1"/>
  <c r="AK620" i="1" s="1"/>
  <c r="AH622" i="1"/>
  <c r="AI622" i="1" s="1"/>
  <c r="AG623" i="1"/>
  <c r="AJ621" i="1" l="1"/>
  <c r="AK621" i="1" s="1"/>
  <c r="AG624" i="1"/>
  <c r="AH623" i="1"/>
  <c r="AI623" i="1" s="1"/>
  <c r="AJ622" i="1" l="1"/>
  <c r="AK622" i="1" s="1"/>
  <c r="AH624" i="1"/>
  <c r="AI624" i="1" s="1"/>
  <c r="AG625" i="1"/>
  <c r="AJ623" i="1" l="1"/>
  <c r="AK623" i="1" s="1"/>
  <c r="AH625" i="1"/>
  <c r="AI625" i="1" s="1"/>
  <c r="AG626" i="1"/>
  <c r="AJ624" i="1" l="1"/>
  <c r="AK624" i="1" s="1"/>
  <c r="AH626" i="1"/>
  <c r="AI626" i="1" s="1"/>
  <c r="AG627" i="1"/>
  <c r="AJ625" i="1" l="1"/>
  <c r="AK625" i="1" s="1"/>
  <c r="AH627" i="1"/>
  <c r="AI627" i="1" s="1"/>
  <c r="AG628" i="1"/>
  <c r="AH628" i="1" l="1"/>
  <c r="AI628" i="1" s="1"/>
  <c r="AG629" i="1"/>
  <c r="AJ626" i="1"/>
  <c r="AK626" i="1" s="1"/>
  <c r="AJ627" i="1" l="1"/>
  <c r="AK627" i="1" s="1"/>
  <c r="AH629" i="1"/>
  <c r="AI629" i="1" s="1"/>
  <c r="AG630" i="1"/>
  <c r="AJ628" i="1" l="1"/>
  <c r="AK628" i="1" s="1"/>
  <c r="AG631" i="1"/>
  <c r="AH630" i="1"/>
  <c r="AI630" i="1" s="1"/>
  <c r="AJ629" i="1" l="1"/>
  <c r="AK629" i="1" s="1"/>
  <c r="AH631" i="1"/>
  <c r="AI631" i="1" s="1"/>
  <c r="AG632" i="1"/>
  <c r="AJ630" i="1" l="1"/>
  <c r="AK630" i="1" s="1"/>
  <c r="AH632" i="1"/>
  <c r="AI632" i="1" s="1"/>
  <c r="AG633" i="1"/>
  <c r="AJ631" i="1" l="1"/>
  <c r="AK631" i="1" s="1"/>
  <c r="AH633" i="1"/>
  <c r="AI633" i="1" s="1"/>
  <c r="AG634" i="1"/>
  <c r="AJ632" i="1" l="1"/>
  <c r="AK632" i="1" s="1"/>
  <c r="AH634" i="1"/>
  <c r="AI634" i="1" s="1"/>
  <c r="AG635" i="1"/>
  <c r="AJ633" i="1" l="1"/>
  <c r="AK633" i="1" s="1"/>
  <c r="AH635" i="1"/>
  <c r="AI635" i="1" s="1"/>
  <c r="AG636" i="1"/>
  <c r="AJ634" i="1" l="1"/>
  <c r="AK634" i="1" s="1"/>
  <c r="AH636" i="1"/>
  <c r="AI636" i="1" s="1"/>
  <c r="AG637" i="1"/>
  <c r="AJ635" i="1" l="1"/>
  <c r="AK635" i="1" s="1"/>
  <c r="AH637" i="1"/>
  <c r="AI637" i="1" s="1"/>
  <c r="AG638" i="1"/>
  <c r="AJ636" i="1" l="1"/>
  <c r="AK636" i="1" s="1"/>
  <c r="AH638" i="1"/>
  <c r="AI638" i="1" s="1"/>
  <c r="AG639" i="1"/>
  <c r="AJ637" i="1" l="1"/>
  <c r="AK637" i="1" s="1"/>
  <c r="AH639" i="1"/>
  <c r="AI639" i="1" s="1"/>
  <c r="AG640" i="1"/>
  <c r="AJ638" i="1" l="1"/>
  <c r="AK638" i="1" s="1"/>
  <c r="AH640" i="1"/>
  <c r="AI640" i="1" s="1"/>
  <c r="AG641" i="1"/>
  <c r="AJ639" i="1" l="1"/>
  <c r="AK639" i="1" s="1"/>
  <c r="AH641" i="1"/>
  <c r="AI641" i="1" s="1"/>
  <c r="AG642" i="1"/>
  <c r="AG643" i="1" l="1"/>
  <c r="AH642" i="1"/>
  <c r="AI642" i="1" s="1"/>
  <c r="AJ640" i="1"/>
  <c r="AK640" i="1" s="1"/>
  <c r="AH643" i="1" l="1"/>
  <c r="AI643" i="1" s="1"/>
  <c r="AG644" i="1"/>
  <c r="AJ641" i="1"/>
  <c r="AK641" i="1" s="1"/>
  <c r="AJ642" i="1" l="1"/>
  <c r="AK642" i="1" s="1"/>
  <c r="AH644" i="1"/>
  <c r="AI644" i="1" s="1"/>
  <c r="AG645" i="1"/>
  <c r="AJ643" i="1" l="1"/>
  <c r="AK643" i="1" s="1"/>
  <c r="AH645" i="1"/>
  <c r="AI645" i="1" s="1"/>
  <c r="AG646" i="1"/>
  <c r="AJ644" i="1" l="1"/>
  <c r="AK644" i="1" s="1"/>
  <c r="AH646" i="1"/>
  <c r="AI646" i="1" s="1"/>
  <c r="AG647" i="1"/>
  <c r="AJ645" i="1" l="1"/>
  <c r="AK645" i="1" s="1"/>
  <c r="AH647" i="1"/>
  <c r="AI647" i="1" s="1"/>
  <c r="AG648" i="1"/>
  <c r="AJ646" i="1" l="1"/>
  <c r="AK646" i="1" s="1"/>
  <c r="AH648" i="1"/>
  <c r="AI648" i="1" s="1"/>
  <c r="AG649" i="1"/>
  <c r="AH649" i="1" l="1"/>
  <c r="AI649" i="1" s="1"/>
  <c r="AG650" i="1"/>
  <c r="AJ647" i="1"/>
  <c r="AK647" i="1" s="1"/>
  <c r="AJ648" i="1" l="1"/>
  <c r="AK648" i="1" s="1"/>
  <c r="AH650" i="1"/>
  <c r="AI650" i="1" s="1"/>
  <c r="AG651" i="1"/>
  <c r="AH651" i="1" l="1"/>
  <c r="AI651" i="1" s="1"/>
  <c r="AG652" i="1"/>
  <c r="AJ649" i="1"/>
  <c r="AK649" i="1" s="1"/>
  <c r="AJ650" i="1" l="1"/>
  <c r="AK650" i="1" s="1"/>
  <c r="AH652" i="1"/>
  <c r="AI652" i="1" s="1"/>
  <c r="AG653" i="1"/>
  <c r="AJ651" i="1" l="1"/>
  <c r="AK651" i="1" s="1"/>
  <c r="AH653" i="1"/>
  <c r="AI653" i="1" s="1"/>
  <c r="AG654" i="1"/>
  <c r="AJ652" i="1" l="1"/>
  <c r="AK652" i="1" s="1"/>
  <c r="AH654" i="1"/>
  <c r="AI654" i="1" s="1"/>
  <c r="AG655" i="1"/>
  <c r="AJ653" i="1" l="1"/>
  <c r="AK653" i="1" s="1"/>
  <c r="AG656" i="1"/>
  <c r="AH655" i="1"/>
  <c r="AI655" i="1" s="1"/>
  <c r="AJ654" i="1" l="1"/>
  <c r="AK654" i="1" s="1"/>
  <c r="AH656" i="1"/>
  <c r="AI656" i="1" s="1"/>
  <c r="AG657" i="1"/>
  <c r="AJ655" i="1" l="1"/>
  <c r="AK655" i="1" s="1"/>
  <c r="AH657" i="1"/>
  <c r="AI657" i="1" s="1"/>
  <c r="AG658" i="1"/>
  <c r="AH658" i="1" l="1"/>
  <c r="AI658" i="1" s="1"/>
  <c r="AG659" i="1"/>
  <c r="AJ656" i="1"/>
  <c r="AK656" i="1" s="1"/>
  <c r="AH659" i="1" l="1"/>
  <c r="AI659" i="1" s="1"/>
  <c r="AG660" i="1"/>
  <c r="AJ657" i="1"/>
  <c r="AK657" i="1" s="1"/>
  <c r="AH660" i="1" l="1"/>
  <c r="AI660" i="1" s="1"/>
  <c r="AG661" i="1"/>
  <c r="AJ658" i="1"/>
  <c r="AK658" i="1" s="1"/>
  <c r="AH661" i="1" l="1"/>
  <c r="AI661" i="1" s="1"/>
  <c r="AG662" i="1"/>
  <c r="AJ659" i="1"/>
  <c r="AK659" i="1" s="1"/>
  <c r="AH662" i="1" l="1"/>
  <c r="AI662" i="1" s="1"/>
  <c r="AG663" i="1"/>
  <c r="AJ660" i="1"/>
  <c r="AK660" i="1" s="1"/>
  <c r="AH663" i="1" l="1"/>
  <c r="AI663" i="1" s="1"/>
  <c r="AG664" i="1"/>
  <c r="AJ661" i="1"/>
  <c r="AK661" i="1" s="1"/>
  <c r="AH664" i="1" l="1"/>
  <c r="AI664" i="1" s="1"/>
  <c r="AG665" i="1"/>
  <c r="AJ662" i="1"/>
  <c r="AK662" i="1" s="1"/>
  <c r="AH665" i="1" l="1"/>
  <c r="AI665" i="1" s="1"/>
  <c r="AG666" i="1"/>
  <c r="AJ663" i="1"/>
  <c r="AK663" i="1" s="1"/>
  <c r="AH666" i="1" l="1"/>
  <c r="AI666" i="1" s="1"/>
  <c r="AG667" i="1"/>
  <c r="AJ664" i="1"/>
  <c r="AK664" i="1" s="1"/>
  <c r="AH667" i="1" l="1"/>
  <c r="AI667" i="1" s="1"/>
  <c r="AG668" i="1"/>
  <c r="AJ665" i="1"/>
  <c r="AK665" i="1" s="1"/>
  <c r="AG669" i="1" l="1"/>
  <c r="AH668" i="1"/>
  <c r="AI668" i="1" s="1"/>
  <c r="AJ666" i="1"/>
  <c r="AK666" i="1" s="1"/>
  <c r="AJ667" i="1" l="1"/>
  <c r="AK667" i="1" s="1"/>
  <c r="AH669" i="1"/>
  <c r="AI669" i="1" s="1"/>
  <c r="AG670" i="1"/>
  <c r="AJ668" i="1" l="1"/>
  <c r="AK668" i="1" s="1"/>
  <c r="AH670" i="1"/>
  <c r="AI670" i="1" s="1"/>
  <c r="AG671" i="1"/>
  <c r="AJ669" i="1" l="1"/>
  <c r="AK669" i="1" s="1"/>
  <c r="AH671" i="1"/>
  <c r="AI671" i="1" s="1"/>
  <c r="AG672" i="1"/>
  <c r="AJ670" i="1" l="1"/>
  <c r="AK670" i="1" s="1"/>
  <c r="AH672" i="1"/>
  <c r="AI672" i="1" s="1"/>
  <c r="AG673" i="1"/>
  <c r="AH673" i="1" l="1"/>
  <c r="AI673" i="1" s="1"/>
  <c r="AG674" i="1"/>
  <c r="AJ671" i="1"/>
  <c r="AK671" i="1" s="1"/>
  <c r="AJ672" i="1" l="1"/>
  <c r="AK672" i="1" s="1"/>
  <c r="AH674" i="1"/>
  <c r="AI674" i="1" s="1"/>
  <c r="AG675" i="1"/>
  <c r="AJ673" i="1" l="1"/>
  <c r="AK673" i="1" s="1"/>
  <c r="AH675" i="1"/>
  <c r="AI675" i="1" s="1"/>
  <c r="AG676" i="1"/>
  <c r="AJ674" i="1" l="1"/>
  <c r="AK674" i="1" s="1"/>
  <c r="AG677" i="1"/>
  <c r="AH676" i="1"/>
  <c r="AI676" i="1" s="1"/>
  <c r="AJ675" i="1" l="1"/>
  <c r="AK675" i="1" s="1"/>
  <c r="AH677" i="1"/>
  <c r="AI677" i="1" s="1"/>
  <c r="AG678" i="1"/>
  <c r="AJ676" i="1" l="1"/>
  <c r="AK676" i="1" s="1"/>
  <c r="AH678" i="1"/>
  <c r="AI678" i="1" s="1"/>
  <c r="AG679" i="1"/>
  <c r="AJ677" i="1" l="1"/>
  <c r="AK677" i="1" s="1"/>
  <c r="AH679" i="1"/>
  <c r="AI679" i="1" s="1"/>
  <c r="AG680" i="1"/>
  <c r="AJ678" i="1" l="1"/>
  <c r="AK678" i="1" s="1"/>
  <c r="AG681" i="1"/>
  <c r="AH680" i="1"/>
  <c r="AI680" i="1" s="1"/>
  <c r="AJ679" i="1" l="1"/>
  <c r="AK679" i="1" s="1"/>
  <c r="AG682" i="1"/>
  <c r="AH681" i="1"/>
  <c r="AI681" i="1" s="1"/>
  <c r="AJ680" i="1" l="1"/>
  <c r="AK680" i="1" s="1"/>
  <c r="AH682" i="1"/>
  <c r="AI682" i="1" s="1"/>
  <c r="AG683" i="1"/>
  <c r="AJ681" i="1" l="1"/>
  <c r="AK681" i="1" s="1"/>
  <c r="AH683" i="1"/>
  <c r="AI683" i="1" s="1"/>
  <c r="AG684" i="1"/>
  <c r="AJ682" i="1" l="1"/>
  <c r="AK682" i="1" s="1"/>
  <c r="AG685" i="1"/>
  <c r="AH684" i="1"/>
  <c r="AI684" i="1" s="1"/>
  <c r="AJ683" i="1" l="1"/>
  <c r="AK683" i="1" s="1"/>
  <c r="AH685" i="1"/>
  <c r="AI685" i="1" s="1"/>
  <c r="AG686" i="1"/>
  <c r="AJ684" i="1" l="1"/>
  <c r="AK684" i="1" s="1"/>
  <c r="AH686" i="1"/>
  <c r="AI686" i="1" s="1"/>
  <c r="AG687" i="1"/>
  <c r="AH687" i="1" l="1"/>
  <c r="AI687" i="1" s="1"/>
  <c r="AG688" i="1"/>
  <c r="AJ685" i="1"/>
  <c r="AK685" i="1" s="1"/>
  <c r="AH688" i="1" l="1"/>
  <c r="AI688" i="1" s="1"/>
  <c r="AG689" i="1"/>
  <c r="AJ686" i="1"/>
  <c r="AK686" i="1" s="1"/>
  <c r="AH689" i="1" l="1"/>
  <c r="AI689" i="1" s="1"/>
  <c r="AG690" i="1"/>
  <c r="AJ687" i="1"/>
  <c r="AK687" i="1" s="1"/>
  <c r="AH690" i="1" l="1"/>
  <c r="AI690" i="1" s="1"/>
  <c r="AG691" i="1"/>
  <c r="AJ688" i="1"/>
  <c r="AK688" i="1" s="1"/>
  <c r="AH691" i="1" l="1"/>
  <c r="AI691" i="1" s="1"/>
  <c r="AG692" i="1"/>
  <c r="AJ689" i="1"/>
  <c r="AK689" i="1" s="1"/>
  <c r="AH692" i="1" l="1"/>
  <c r="AI692" i="1" s="1"/>
  <c r="AG693" i="1"/>
  <c r="AJ690" i="1"/>
  <c r="AK690" i="1" s="1"/>
  <c r="AH693" i="1" l="1"/>
  <c r="AI693" i="1" s="1"/>
  <c r="AG694" i="1"/>
  <c r="AJ691" i="1"/>
  <c r="AK691" i="1" s="1"/>
  <c r="AH694" i="1" l="1"/>
  <c r="AI694" i="1" s="1"/>
  <c r="AG695" i="1"/>
  <c r="AJ692" i="1"/>
  <c r="AK692" i="1" s="1"/>
  <c r="AH695" i="1" l="1"/>
  <c r="AI695" i="1" s="1"/>
  <c r="AG696" i="1"/>
  <c r="AJ693" i="1"/>
  <c r="AK693" i="1" s="1"/>
  <c r="AH696" i="1" l="1"/>
  <c r="AI696" i="1" s="1"/>
  <c r="AG697" i="1"/>
  <c r="AJ694" i="1"/>
  <c r="AK694" i="1" s="1"/>
  <c r="AG698" i="1" l="1"/>
  <c r="AH697" i="1"/>
  <c r="AI697" i="1" s="1"/>
  <c r="AJ695" i="1"/>
  <c r="AK695" i="1" s="1"/>
  <c r="AJ696" i="1" l="1"/>
  <c r="AK696" i="1" s="1"/>
  <c r="AG699" i="1"/>
  <c r="AH698" i="1"/>
  <c r="AI698" i="1" s="1"/>
  <c r="AJ697" i="1" l="1"/>
  <c r="AK697" i="1" s="1"/>
  <c r="AG700" i="1"/>
  <c r="AH699" i="1"/>
  <c r="AI699" i="1" s="1"/>
  <c r="AJ698" i="1" l="1"/>
  <c r="AK698" i="1" s="1"/>
  <c r="AH700" i="1"/>
  <c r="AI700" i="1" s="1"/>
  <c r="AG701" i="1"/>
  <c r="AH701" i="1" l="1"/>
  <c r="AI701" i="1" s="1"/>
  <c r="AG702" i="1"/>
  <c r="AJ699" i="1"/>
  <c r="AK699" i="1" s="1"/>
  <c r="AJ700" i="1" l="1"/>
  <c r="AK700" i="1" s="1"/>
  <c r="AH702" i="1"/>
  <c r="AI702" i="1" s="1"/>
  <c r="AG703" i="1"/>
  <c r="AH703" i="1" l="1"/>
  <c r="AI703" i="1" s="1"/>
  <c r="AG704" i="1"/>
  <c r="AJ701" i="1"/>
  <c r="AK701" i="1" s="1"/>
  <c r="AG705" i="1" l="1"/>
  <c r="AH704" i="1"/>
  <c r="AI704" i="1" s="1"/>
  <c r="AJ702" i="1"/>
  <c r="AK702" i="1" s="1"/>
  <c r="AG706" i="1" l="1"/>
  <c r="AH705" i="1"/>
  <c r="AI705" i="1" s="1"/>
  <c r="AJ703" i="1"/>
  <c r="AK703" i="1" s="1"/>
  <c r="AG707" i="1" l="1"/>
  <c r="AH706" i="1"/>
  <c r="AI706" i="1" s="1"/>
  <c r="AJ704" i="1"/>
  <c r="AK704" i="1" s="1"/>
  <c r="AH707" i="1" l="1"/>
  <c r="AI707" i="1" s="1"/>
  <c r="AG708" i="1"/>
  <c r="AJ705" i="1"/>
  <c r="AK705" i="1" s="1"/>
  <c r="AJ706" i="1" l="1"/>
  <c r="AK706" i="1" s="1"/>
  <c r="AH708" i="1"/>
  <c r="AI708" i="1" s="1"/>
  <c r="AG709" i="1"/>
  <c r="AJ707" i="1" l="1"/>
  <c r="AK707" i="1" s="1"/>
  <c r="AG710" i="1"/>
  <c r="AH709" i="1"/>
  <c r="AI709" i="1" s="1"/>
  <c r="AJ708" i="1" l="1"/>
  <c r="AK708" i="1" s="1"/>
  <c r="AG711" i="1"/>
  <c r="AH710" i="1"/>
  <c r="AI710" i="1" s="1"/>
  <c r="AJ709" i="1" l="1"/>
  <c r="AK709" i="1" s="1"/>
  <c r="AG712" i="1"/>
  <c r="AH711" i="1"/>
  <c r="AI711" i="1" s="1"/>
  <c r="AJ710" i="1" l="1"/>
  <c r="AK710" i="1" s="1"/>
  <c r="AG713" i="1"/>
  <c r="AH712" i="1"/>
  <c r="AI712" i="1" s="1"/>
  <c r="AJ711" i="1" l="1"/>
  <c r="AK711" i="1" s="1"/>
  <c r="AH713" i="1"/>
  <c r="AI713" i="1" s="1"/>
  <c r="AG714" i="1"/>
  <c r="AJ712" i="1" l="1"/>
  <c r="AK712" i="1" s="1"/>
  <c r="AH714" i="1"/>
  <c r="AI714" i="1" s="1"/>
  <c r="AG715" i="1"/>
  <c r="AJ713" i="1" l="1"/>
  <c r="AK713" i="1" s="1"/>
  <c r="AG716" i="1"/>
  <c r="AH715" i="1"/>
  <c r="AI715" i="1" s="1"/>
  <c r="AJ714" i="1" l="1"/>
  <c r="AK714" i="1" s="1"/>
  <c r="AG717" i="1"/>
  <c r="AH716" i="1"/>
  <c r="AI716" i="1" s="1"/>
  <c r="AJ715" i="1" l="1"/>
  <c r="AK715" i="1" s="1"/>
  <c r="AG718" i="1"/>
  <c r="AH717" i="1"/>
  <c r="AI717" i="1" s="1"/>
  <c r="AJ716" i="1" l="1"/>
  <c r="AK716" i="1" s="1"/>
  <c r="AG719" i="1"/>
  <c r="AH718" i="1"/>
  <c r="AI718" i="1" s="1"/>
  <c r="AJ717" i="1" l="1"/>
  <c r="AK717" i="1" s="1"/>
  <c r="AH719" i="1"/>
  <c r="AI719" i="1" s="1"/>
  <c r="AG720" i="1"/>
  <c r="AJ718" i="1" l="1"/>
  <c r="AK718" i="1" s="1"/>
  <c r="AH720" i="1"/>
  <c r="AI720" i="1" s="1"/>
  <c r="AG721" i="1"/>
  <c r="AJ719" i="1" l="1"/>
  <c r="AK719" i="1" s="1"/>
  <c r="AG722" i="1"/>
  <c r="AH721" i="1"/>
  <c r="AI721" i="1" s="1"/>
  <c r="AJ720" i="1" l="1"/>
  <c r="AK720" i="1" s="1"/>
  <c r="AG723" i="1"/>
  <c r="AH722" i="1"/>
  <c r="AI722" i="1" s="1"/>
  <c r="AJ721" i="1" l="1"/>
  <c r="AK721" i="1" s="1"/>
  <c r="AH723" i="1"/>
  <c r="AI723" i="1" s="1"/>
  <c r="AG724" i="1"/>
  <c r="AJ722" i="1" l="1"/>
  <c r="AK722" i="1" s="1"/>
  <c r="AH724" i="1"/>
  <c r="AI724" i="1" s="1"/>
  <c r="AG725" i="1"/>
  <c r="AJ723" i="1" l="1"/>
  <c r="AK723" i="1" s="1"/>
  <c r="AH725" i="1"/>
  <c r="AI725" i="1" s="1"/>
  <c r="AG726" i="1"/>
  <c r="AJ724" i="1" l="1"/>
  <c r="AK724" i="1" s="1"/>
  <c r="AH726" i="1"/>
  <c r="AI726" i="1" s="1"/>
  <c r="AG727" i="1"/>
  <c r="AJ725" i="1" l="1"/>
  <c r="AK725" i="1" s="1"/>
  <c r="AH727" i="1"/>
  <c r="AI727" i="1" s="1"/>
  <c r="AG728" i="1"/>
  <c r="AJ726" i="1" l="1"/>
  <c r="AK726" i="1" s="1"/>
  <c r="AH728" i="1"/>
  <c r="AI728" i="1" s="1"/>
  <c r="AG729" i="1"/>
  <c r="AJ727" i="1" l="1"/>
  <c r="AK727" i="1" s="1"/>
  <c r="AH729" i="1"/>
  <c r="AI729" i="1" s="1"/>
  <c r="AG730" i="1"/>
  <c r="AJ728" i="1" l="1"/>
  <c r="AK728" i="1" s="1"/>
  <c r="AH730" i="1"/>
  <c r="AI730" i="1" s="1"/>
  <c r="AG731" i="1"/>
  <c r="AH731" i="1" l="1"/>
  <c r="AI731" i="1" s="1"/>
  <c r="AG732" i="1"/>
  <c r="AJ729" i="1"/>
  <c r="AK729" i="1" s="1"/>
  <c r="AJ730" i="1" l="1"/>
  <c r="AK730" i="1" s="1"/>
  <c r="AH732" i="1"/>
  <c r="AI732" i="1" s="1"/>
  <c r="AG733" i="1"/>
  <c r="AJ731" i="1" l="1"/>
  <c r="AK731" i="1" s="1"/>
  <c r="AH733" i="1"/>
  <c r="AI733" i="1" s="1"/>
  <c r="AG734" i="1"/>
  <c r="AJ732" i="1" l="1"/>
  <c r="AK732" i="1" s="1"/>
  <c r="AH734" i="1"/>
  <c r="AI734" i="1" s="1"/>
  <c r="AG735" i="1"/>
  <c r="AJ733" i="1" l="1"/>
  <c r="AK733" i="1" s="1"/>
  <c r="AH735" i="1"/>
  <c r="AI735" i="1" s="1"/>
  <c r="AG736" i="1"/>
  <c r="AJ734" i="1" l="1"/>
  <c r="AK734" i="1" s="1"/>
  <c r="AH736" i="1"/>
  <c r="AI736" i="1" s="1"/>
  <c r="AG737" i="1"/>
  <c r="AJ735" i="1" l="1"/>
  <c r="AK735" i="1" s="1"/>
  <c r="AH737" i="1"/>
  <c r="AI737" i="1" s="1"/>
  <c r="AG738" i="1"/>
  <c r="AJ736" i="1" l="1"/>
  <c r="AK736" i="1" s="1"/>
  <c r="AH738" i="1"/>
  <c r="AI738" i="1" s="1"/>
  <c r="AG739" i="1"/>
  <c r="AJ737" i="1" l="1"/>
  <c r="AK737" i="1" s="1"/>
  <c r="AG740" i="1"/>
  <c r="AH739" i="1"/>
  <c r="AI739" i="1" s="1"/>
  <c r="AJ738" i="1" l="1"/>
  <c r="AK738" i="1" s="1"/>
  <c r="AH740" i="1"/>
  <c r="AI740" i="1" s="1"/>
  <c r="AG741" i="1"/>
  <c r="AH741" i="1" l="1"/>
  <c r="AI741" i="1" s="1"/>
  <c r="AG742" i="1"/>
  <c r="AJ739" i="1"/>
  <c r="AK739" i="1" s="1"/>
  <c r="AJ740" i="1" l="1"/>
  <c r="AK740" i="1" s="1"/>
  <c r="AG743" i="1"/>
  <c r="AH742" i="1"/>
  <c r="AI742" i="1" s="1"/>
  <c r="AJ741" i="1" l="1"/>
  <c r="AK741" i="1" s="1"/>
  <c r="AH743" i="1"/>
  <c r="AI743" i="1" s="1"/>
  <c r="AG744" i="1"/>
  <c r="AJ742" i="1" l="1"/>
  <c r="AK742" i="1" s="1"/>
  <c r="AH744" i="1"/>
  <c r="AI744" i="1" s="1"/>
  <c r="AG745" i="1"/>
  <c r="AH745" i="1" l="1"/>
  <c r="AI745" i="1" s="1"/>
  <c r="AG746" i="1"/>
  <c r="AJ743" i="1"/>
  <c r="AK743" i="1" s="1"/>
  <c r="AJ744" i="1" l="1"/>
  <c r="AK744" i="1" s="1"/>
  <c r="AH746" i="1"/>
  <c r="AI746" i="1" s="1"/>
  <c r="AG747" i="1"/>
  <c r="AH747" i="1" l="1"/>
  <c r="AI747" i="1" s="1"/>
  <c r="AG748" i="1"/>
  <c r="AJ745" i="1"/>
  <c r="AK745" i="1" s="1"/>
  <c r="AJ746" i="1" l="1"/>
  <c r="AK746" i="1" s="1"/>
  <c r="AH748" i="1"/>
  <c r="AI748" i="1" s="1"/>
  <c r="AG749" i="1"/>
  <c r="AJ747" i="1" l="1"/>
  <c r="AK747" i="1" s="1"/>
  <c r="AH749" i="1"/>
  <c r="AI749" i="1" s="1"/>
  <c r="AG750" i="1"/>
  <c r="AJ748" i="1" l="1"/>
  <c r="AK748" i="1" s="1"/>
  <c r="AH750" i="1"/>
  <c r="AI750" i="1" s="1"/>
  <c r="AG751" i="1"/>
  <c r="AH751" i="1" l="1"/>
  <c r="AI751" i="1" s="1"/>
  <c r="AG752" i="1"/>
  <c r="AJ749" i="1"/>
  <c r="AK749" i="1" s="1"/>
  <c r="AH752" i="1" l="1"/>
  <c r="AI752" i="1" s="1"/>
  <c r="AG753" i="1"/>
  <c r="AJ750" i="1"/>
  <c r="AK750" i="1" s="1"/>
  <c r="AJ751" i="1" l="1"/>
  <c r="AK751" i="1" s="1"/>
  <c r="AH753" i="1"/>
  <c r="AI753" i="1" s="1"/>
  <c r="AG754" i="1"/>
  <c r="AJ752" i="1" l="1"/>
  <c r="AK752" i="1" s="1"/>
  <c r="AG755" i="1"/>
  <c r="AH754" i="1"/>
  <c r="AI754" i="1" s="1"/>
  <c r="AJ753" i="1" l="1"/>
  <c r="AK753" i="1" s="1"/>
  <c r="AH755" i="1"/>
  <c r="AI755" i="1" s="1"/>
  <c r="AG756" i="1"/>
  <c r="AJ754" i="1" l="1"/>
  <c r="AK754" i="1" s="1"/>
  <c r="AH756" i="1"/>
  <c r="AI756" i="1" s="1"/>
  <c r="AG757" i="1"/>
  <c r="AJ755" i="1" l="1"/>
  <c r="AK755" i="1" s="1"/>
  <c r="AH757" i="1"/>
  <c r="AI757" i="1" s="1"/>
  <c r="AG758" i="1"/>
  <c r="AJ756" i="1" l="1"/>
  <c r="AK756" i="1" s="1"/>
  <c r="AH758" i="1"/>
  <c r="AI758" i="1" s="1"/>
  <c r="AG759" i="1"/>
  <c r="AH759" i="1" l="1"/>
  <c r="AI759" i="1" s="1"/>
  <c r="AG760" i="1"/>
  <c r="AJ757" i="1"/>
  <c r="AK757" i="1" s="1"/>
  <c r="AH760" i="1" l="1"/>
  <c r="AI760" i="1" s="1"/>
  <c r="AG761" i="1"/>
  <c r="AJ758" i="1"/>
  <c r="AK758" i="1" s="1"/>
  <c r="AH761" i="1" l="1"/>
  <c r="AI761" i="1" s="1"/>
  <c r="AG762" i="1"/>
  <c r="AJ759" i="1"/>
  <c r="AK759" i="1" s="1"/>
  <c r="AG763" i="1" l="1"/>
  <c r="AH762" i="1"/>
  <c r="AI762" i="1" s="1"/>
  <c r="AJ760" i="1"/>
  <c r="AK760" i="1" s="1"/>
  <c r="AJ761" i="1" l="1"/>
  <c r="AK761" i="1" s="1"/>
  <c r="AH763" i="1"/>
  <c r="AI763" i="1" s="1"/>
  <c r="AG764" i="1"/>
  <c r="AJ762" i="1" l="1"/>
  <c r="AK762" i="1" s="1"/>
  <c r="AH764" i="1"/>
  <c r="AI764" i="1" s="1"/>
  <c r="AG765" i="1"/>
  <c r="AJ763" i="1" l="1"/>
  <c r="AK763" i="1" s="1"/>
  <c r="AH765" i="1"/>
  <c r="AI765" i="1" s="1"/>
  <c r="AG766" i="1"/>
  <c r="AJ764" i="1" l="1"/>
  <c r="AK764" i="1" s="1"/>
  <c r="AG767" i="1"/>
  <c r="AH766" i="1"/>
  <c r="AI766" i="1" s="1"/>
  <c r="AJ765" i="1" l="1"/>
  <c r="AK765" i="1" s="1"/>
  <c r="AH767" i="1"/>
  <c r="AI767" i="1" s="1"/>
  <c r="AG768" i="1"/>
  <c r="AJ766" i="1" l="1"/>
  <c r="AK766" i="1" s="1"/>
  <c r="AH768" i="1"/>
  <c r="AI768" i="1" s="1"/>
  <c r="AG769" i="1"/>
  <c r="AJ767" i="1" l="1"/>
  <c r="AK767" i="1" s="1"/>
  <c r="AH769" i="1"/>
  <c r="AI769" i="1" s="1"/>
  <c r="AG770" i="1"/>
  <c r="AJ768" i="1" l="1"/>
  <c r="AK768" i="1" s="1"/>
  <c r="AH770" i="1"/>
  <c r="AI770" i="1" s="1"/>
  <c r="AG771" i="1"/>
  <c r="AJ769" i="1" l="1"/>
  <c r="AK769" i="1" s="1"/>
  <c r="AG772" i="1"/>
  <c r="AH771" i="1"/>
  <c r="AI771" i="1" s="1"/>
  <c r="AJ770" i="1" l="1"/>
  <c r="AK770" i="1" s="1"/>
  <c r="AG773" i="1"/>
  <c r="AH772" i="1"/>
  <c r="AI772" i="1" s="1"/>
  <c r="AJ771" i="1" l="1"/>
  <c r="AK771" i="1" s="1"/>
  <c r="AH773" i="1"/>
  <c r="AI773" i="1" s="1"/>
  <c r="AG774" i="1"/>
  <c r="AH774" i="1" l="1"/>
  <c r="AI774" i="1" s="1"/>
  <c r="AG775" i="1"/>
  <c r="AJ772" i="1"/>
  <c r="AK772" i="1" s="1"/>
  <c r="AJ773" i="1" l="1"/>
  <c r="AK773" i="1" s="1"/>
  <c r="AH775" i="1"/>
  <c r="AI775" i="1" s="1"/>
  <c r="AG776" i="1"/>
  <c r="AH776" i="1" l="1"/>
  <c r="AI776" i="1" s="1"/>
  <c r="AG777" i="1"/>
  <c r="AJ774" i="1"/>
  <c r="AK774" i="1" s="1"/>
  <c r="AJ775" i="1" l="1"/>
  <c r="AK775" i="1" s="1"/>
  <c r="AH777" i="1"/>
  <c r="AI777" i="1" s="1"/>
  <c r="AG778" i="1"/>
  <c r="AJ776" i="1" l="1"/>
  <c r="AK776" i="1" s="1"/>
  <c r="AH778" i="1"/>
  <c r="AI778" i="1" s="1"/>
  <c r="AG779" i="1"/>
  <c r="AJ777" i="1" l="1"/>
  <c r="AK777" i="1" s="1"/>
  <c r="AH779" i="1"/>
  <c r="AI779" i="1" s="1"/>
  <c r="AG780" i="1"/>
  <c r="AJ778" i="1" l="1"/>
  <c r="AK778" i="1" s="1"/>
  <c r="AH780" i="1"/>
  <c r="AI780" i="1" s="1"/>
  <c r="AG781" i="1"/>
  <c r="AJ779" i="1" l="1"/>
  <c r="AK779" i="1" s="1"/>
  <c r="AH781" i="1"/>
  <c r="AI781" i="1" s="1"/>
  <c r="AG782" i="1"/>
  <c r="AJ780" i="1" l="1"/>
  <c r="AK780" i="1" s="1"/>
  <c r="AH782" i="1"/>
  <c r="AI782" i="1" s="1"/>
  <c r="AG783" i="1"/>
  <c r="AJ781" i="1" l="1"/>
  <c r="AK781" i="1" s="1"/>
  <c r="AG784" i="1"/>
  <c r="AH783" i="1"/>
  <c r="AI783" i="1" s="1"/>
  <c r="AJ782" i="1" l="1"/>
  <c r="AK782" i="1" s="1"/>
  <c r="AH784" i="1"/>
  <c r="AI784" i="1" s="1"/>
  <c r="AG785" i="1"/>
  <c r="AJ783" i="1" l="1"/>
  <c r="AK783" i="1" s="1"/>
  <c r="AH785" i="1"/>
  <c r="AI785" i="1" s="1"/>
  <c r="AG786" i="1"/>
  <c r="AJ784" i="1" l="1"/>
  <c r="AK784" i="1" s="1"/>
  <c r="AH786" i="1"/>
  <c r="AI786" i="1" s="1"/>
  <c r="AG787" i="1"/>
  <c r="AJ785" i="1" l="1"/>
  <c r="AK785" i="1" s="1"/>
  <c r="AG788" i="1"/>
  <c r="AH787" i="1"/>
  <c r="AI787" i="1" s="1"/>
  <c r="AJ786" i="1" l="1"/>
  <c r="AK786" i="1" s="1"/>
  <c r="AG789" i="1"/>
  <c r="AH788" i="1"/>
  <c r="AI788" i="1" s="1"/>
  <c r="AJ787" i="1" l="1"/>
  <c r="AK787" i="1" s="1"/>
  <c r="AG790" i="1"/>
  <c r="AH789" i="1"/>
  <c r="AI789" i="1" s="1"/>
  <c r="AJ788" i="1" l="1"/>
  <c r="AK788" i="1" s="1"/>
  <c r="AH790" i="1"/>
  <c r="AI790" i="1" s="1"/>
  <c r="AG791" i="1"/>
  <c r="AJ789" i="1" l="1"/>
  <c r="AK789" i="1" s="1"/>
  <c r="AG792" i="1"/>
  <c r="AH791" i="1"/>
  <c r="AI791" i="1" s="1"/>
  <c r="AJ790" i="1" l="1"/>
  <c r="AK790" i="1" s="1"/>
  <c r="AH792" i="1"/>
  <c r="AI792" i="1" s="1"/>
  <c r="AG793" i="1"/>
  <c r="AJ791" i="1" l="1"/>
  <c r="AK791" i="1" s="1"/>
  <c r="AH793" i="1"/>
  <c r="AI793" i="1" s="1"/>
  <c r="AG794" i="1"/>
  <c r="AJ792" i="1" l="1"/>
  <c r="AK792" i="1" s="1"/>
  <c r="AH794" i="1"/>
  <c r="AI794" i="1" s="1"/>
  <c r="AG795" i="1"/>
  <c r="AJ793" i="1" l="1"/>
  <c r="AK793" i="1" s="1"/>
  <c r="AH795" i="1"/>
  <c r="AI795" i="1" s="1"/>
  <c r="AG796" i="1"/>
  <c r="AJ794" i="1" l="1"/>
  <c r="AK794" i="1" s="1"/>
  <c r="AH796" i="1"/>
  <c r="AI796" i="1" s="1"/>
  <c r="AG797" i="1"/>
  <c r="AJ795" i="1" l="1"/>
  <c r="AK795" i="1" s="1"/>
  <c r="AH797" i="1"/>
  <c r="AI797" i="1" s="1"/>
  <c r="AG798" i="1"/>
  <c r="AJ796" i="1" l="1"/>
  <c r="AK796" i="1" s="1"/>
  <c r="AH798" i="1"/>
  <c r="AI798" i="1" s="1"/>
  <c r="AG799" i="1"/>
  <c r="AJ797" i="1" l="1"/>
  <c r="AK797" i="1" s="1"/>
  <c r="AH799" i="1"/>
  <c r="AI799" i="1" s="1"/>
  <c r="AG800" i="1"/>
  <c r="AJ798" i="1" l="1"/>
  <c r="AK798" i="1" s="1"/>
  <c r="AH800" i="1"/>
  <c r="AI800" i="1" s="1"/>
  <c r="AG801" i="1"/>
  <c r="AJ799" i="1" l="1"/>
  <c r="AK799" i="1" s="1"/>
  <c r="AH801" i="1"/>
  <c r="AI801" i="1" s="1"/>
  <c r="AG802" i="1"/>
  <c r="AG803" i="1" l="1"/>
  <c r="AH802" i="1"/>
  <c r="AI802" i="1" s="1"/>
  <c r="AJ800" i="1"/>
  <c r="AK800" i="1" s="1"/>
  <c r="AG804" i="1" l="1"/>
  <c r="AH803" i="1"/>
  <c r="AI803" i="1" s="1"/>
  <c r="AJ801" i="1"/>
  <c r="AK801" i="1" s="1"/>
  <c r="AG805" i="1" l="1"/>
  <c r="AH804" i="1"/>
  <c r="AI804" i="1" s="1"/>
  <c r="AJ802" i="1"/>
  <c r="AK802" i="1" s="1"/>
  <c r="AH805" i="1" l="1"/>
  <c r="AI805" i="1" s="1"/>
  <c r="AG806" i="1"/>
  <c r="AJ803" i="1"/>
  <c r="AK803" i="1" s="1"/>
  <c r="AJ804" i="1" l="1"/>
  <c r="AK804" i="1" s="1"/>
  <c r="AG807" i="1"/>
  <c r="AH806" i="1"/>
  <c r="AI806" i="1" s="1"/>
  <c r="AJ805" i="1" l="1"/>
  <c r="AK805" i="1" s="1"/>
  <c r="AH807" i="1"/>
  <c r="AI807" i="1" s="1"/>
  <c r="AG808" i="1"/>
  <c r="AJ806" i="1" l="1"/>
  <c r="AK806" i="1" s="1"/>
  <c r="AH808" i="1"/>
  <c r="AI808" i="1" s="1"/>
  <c r="AG809" i="1"/>
  <c r="AJ807" i="1" l="1"/>
  <c r="AK807" i="1" s="1"/>
  <c r="AH809" i="1"/>
  <c r="AI809" i="1" s="1"/>
  <c r="AG810" i="1"/>
  <c r="AJ808" i="1" l="1"/>
  <c r="AK808" i="1" s="1"/>
  <c r="AH810" i="1"/>
  <c r="AI810" i="1" s="1"/>
  <c r="AG811" i="1"/>
  <c r="AJ809" i="1" l="1"/>
  <c r="AK809" i="1" s="1"/>
  <c r="AH811" i="1"/>
  <c r="AI811" i="1" s="1"/>
  <c r="AG812" i="1"/>
  <c r="AJ810" i="1" l="1"/>
  <c r="AK810" i="1" s="1"/>
  <c r="AH812" i="1"/>
  <c r="AI812" i="1" s="1"/>
  <c r="AG813" i="1"/>
  <c r="AJ811" i="1" l="1"/>
  <c r="AK811" i="1" s="1"/>
  <c r="AG814" i="1"/>
  <c r="AH813" i="1"/>
  <c r="AI813" i="1" s="1"/>
  <c r="AJ812" i="1" l="1"/>
  <c r="AK812" i="1" s="1"/>
  <c r="AH814" i="1"/>
  <c r="AI814" i="1" s="1"/>
  <c r="AG815" i="1"/>
  <c r="AJ813" i="1" l="1"/>
  <c r="AK813" i="1" s="1"/>
  <c r="AG816" i="1"/>
  <c r="AH815" i="1"/>
  <c r="AI815" i="1" s="1"/>
  <c r="AJ814" i="1" l="1"/>
  <c r="AK814" i="1" s="1"/>
  <c r="AG817" i="1"/>
  <c r="AH816" i="1"/>
  <c r="AI816" i="1" s="1"/>
  <c r="AJ815" i="1" l="1"/>
  <c r="AK815" i="1" s="1"/>
  <c r="AH817" i="1"/>
  <c r="AI817" i="1" s="1"/>
  <c r="AG818" i="1"/>
  <c r="AH818" i="1" l="1"/>
  <c r="AI818" i="1" s="1"/>
  <c r="AG819" i="1"/>
  <c r="AJ816" i="1"/>
  <c r="AK816" i="1" s="1"/>
  <c r="AG820" i="1" l="1"/>
  <c r="AH819" i="1"/>
  <c r="AI819" i="1" s="1"/>
  <c r="AJ817" i="1"/>
  <c r="AK817" i="1" s="1"/>
  <c r="AG821" i="1" l="1"/>
  <c r="AH820" i="1"/>
  <c r="AI820" i="1" s="1"/>
  <c r="AJ818" i="1"/>
  <c r="AK818" i="1" s="1"/>
  <c r="AH821" i="1" l="1"/>
  <c r="AI821" i="1" s="1"/>
  <c r="AG822" i="1"/>
  <c r="AJ819" i="1"/>
  <c r="AK819" i="1" s="1"/>
  <c r="AJ820" i="1" l="1"/>
  <c r="AK820" i="1" s="1"/>
  <c r="AG823" i="1"/>
  <c r="AH822" i="1"/>
  <c r="AI822" i="1" s="1"/>
  <c r="AJ821" i="1" l="1"/>
  <c r="AK821" i="1" s="1"/>
  <c r="AH823" i="1"/>
  <c r="AI823" i="1" s="1"/>
  <c r="AG824" i="1"/>
  <c r="AJ822" i="1" l="1"/>
  <c r="AK822" i="1" s="1"/>
  <c r="AG825" i="1"/>
  <c r="AH824" i="1"/>
  <c r="AI824" i="1" s="1"/>
  <c r="AJ823" i="1" l="1"/>
  <c r="AK823" i="1" s="1"/>
  <c r="AH825" i="1"/>
  <c r="AI825" i="1" s="1"/>
  <c r="AG826" i="1"/>
  <c r="AJ824" i="1" l="1"/>
  <c r="AK824" i="1" s="1"/>
  <c r="AH826" i="1"/>
  <c r="AI826" i="1" s="1"/>
  <c r="AG827" i="1"/>
  <c r="AJ825" i="1" l="1"/>
  <c r="AK825" i="1" s="1"/>
  <c r="AH827" i="1"/>
  <c r="AI827" i="1" s="1"/>
  <c r="AG828" i="1"/>
  <c r="AJ826" i="1" l="1"/>
  <c r="AK826" i="1" s="1"/>
  <c r="AH828" i="1"/>
  <c r="AI828" i="1" s="1"/>
  <c r="AG829" i="1"/>
  <c r="AJ827" i="1" l="1"/>
  <c r="AK827" i="1" s="1"/>
  <c r="AH829" i="1"/>
  <c r="AI829" i="1" s="1"/>
  <c r="AG830" i="1"/>
  <c r="AH830" i="1" l="1"/>
  <c r="AI830" i="1" s="1"/>
  <c r="AG831" i="1"/>
  <c r="AJ828" i="1"/>
  <c r="AK828" i="1" s="1"/>
  <c r="AG832" i="1" l="1"/>
  <c r="AH831" i="1"/>
  <c r="AI831" i="1" s="1"/>
  <c r="AJ829" i="1"/>
  <c r="AK829" i="1" s="1"/>
  <c r="AG833" i="1" l="1"/>
  <c r="AH832" i="1"/>
  <c r="AI832" i="1" s="1"/>
  <c r="AJ830" i="1"/>
  <c r="AK830" i="1" s="1"/>
  <c r="AG834" i="1" l="1"/>
  <c r="AH833" i="1"/>
  <c r="AI833" i="1" s="1"/>
  <c r="AJ831" i="1"/>
  <c r="AK831" i="1" s="1"/>
  <c r="AG835" i="1" l="1"/>
  <c r="AH834" i="1"/>
  <c r="AI834" i="1" s="1"/>
  <c r="AJ832" i="1"/>
  <c r="AK832" i="1" s="1"/>
  <c r="AG836" i="1" l="1"/>
  <c r="AH835" i="1"/>
  <c r="AI835" i="1" s="1"/>
  <c r="AJ833" i="1"/>
  <c r="AK833" i="1" s="1"/>
  <c r="AG837" i="1" l="1"/>
  <c r="AH836" i="1"/>
  <c r="AI836" i="1" s="1"/>
  <c r="AJ834" i="1"/>
  <c r="AK834" i="1" s="1"/>
  <c r="AG838" i="1" l="1"/>
  <c r="AH837" i="1"/>
  <c r="AI837" i="1" s="1"/>
  <c r="AJ835" i="1"/>
  <c r="AK835" i="1" s="1"/>
  <c r="AG839" i="1" l="1"/>
  <c r="AH838" i="1"/>
  <c r="AI838" i="1" s="1"/>
  <c r="AJ836" i="1"/>
  <c r="AK836" i="1" s="1"/>
  <c r="AG840" i="1" l="1"/>
  <c r="AH839" i="1"/>
  <c r="AI839" i="1" s="1"/>
  <c r="AJ837" i="1"/>
  <c r="AK837" i="1" s="1"/>
  <c r="AG841" i="1" l="1"/>
  <c r="AH840" i="1"/>
  <c r="AI840" i="1" s="1"/>
  <c r="AJ838" i="1"/>
  <c r="AK838" i="1" s="1"/>
  <c r="AG842" i="1" l="1"/>
  <c r="AH841" i="1"/>
  <c r="AI841" i="1" s="1"/>
  <c r="AJ839" i="1"/>
  <c r="AK839" i="1" s="1"/>
  <c r="AH842" i="1" l="1"/>
  <c r="AI842" i="1" s="1"/>
  <c r="AG843" i="1"/>
  <c r="AJ840" i="1"/>
  <c r="AK840" i="1" s="1"/>
  <c r="AJ841" i="1" l="1"/>
  <c r="AK841" i="1" s="1"/>
  <c r="AH843" i="1"/>
  <c r="AI843" i="1" s="1"/>
  <c r="AG844" i="1"/>
  <c r="AH844" i="1" l="1"/>
  <c r="AI844" i="1" s="1"/>
  <c r="AG845" i="1"/>
  <c r="AJ842" i="1"/>
  <c r="AK842" i="1" s="1"/>
  <c r="AG846" i="1" l="1"/>
  <c r="AH845" i="1"/>
  <c r="AI845" i="1" s="1"/>
  <c r="AJ843" i="1"/>
  <c r="AK843" i="1" s="1"/>
  <c r="AJ844" i="1" l="1"/>
  <c r="AK844" i="1" s="1"/>
  <c r="AH846" i="1"/>
  <c r="AI846" i="1" s="1"/>
  <c r="AG847" i="1"/>
  <c r="AJ845" i="1" l="1"/>
  <c r="AK845" i="1" s="1"/>
  <c r="AH847" i="1"/>
  <c r="AI847" i="1" s="1"/>
  <c r="AG848" i="1"/>
  <c r="AJ846" i="1" l="1"/>
  <c r="AK846" i="1" s="1"/>
  <c r="AG849" i="1"/>
  <c r="AH848" i="1"/>
  <c r="AI848" i="1" s="1"/>
  <c r="AJ847" i="1" l="1"/>
  <c r="AK847" i="1" s="1"/>
  <c r="AG850" i="1"/>
  <c r="AH849" i="1"/>
  <c r="AI849" i="1" s="1"/>
  <c r="AJ848" i="1" l="1"/>
  <c r="AK848" i="1" s="1"/>
  <c r="AG851" i="1"/>
  <c r="AH850" i="1"/>
  <c r="AI850" i="1" s="1"/>
  <c r="AJ849" i="1" l="1"/>
  <c r="AK849" i="1" s="1"/>
  <c r="AH851" i="1"/>
  <c r="AI851" i="1" s="1"/>
  <c r="AG852" i="1"/>
  <c r="AJ850" i="1" l="1"/>
  <c r="AK850" i="1" s="1"/>
  <c r="AH852" i="1"/>
  <c r="AI852" i="1" s="1"/>
  <c r="AG853" i="1"/>
  <c r="AJ851" i="1" l="1"/>
  <c r="AK851" i="1" s="1"/>
  <c r="AH853" i="1"/>
  <c r="AI853" i="1" s="1"/>
  <c r="AG854" i="1"/>
  <c r="AJ852" i="1" l="1"/>
  <c r="AK852" i="1" s="1"/>
  <c r="AG855" i="1"/>
  <c r="AH854" i="1"/>
  <c r="AI854" i="1" s="1"/>
  <c r="AJ853" i="1" l="1"/>
  <c r="AK853" i="1" s="1"/>
  <c r="AG856" i="1"/>
  <c r="AH855" i="1"/>
  <c r="AI855" i="1" s="1"/>
  <c r="AJ854" i="1" l="1"/>
  <c r="AK854" i="1" s="1"/>
  <c r="AG857" i="1"/>
  <c r="AH856" i="1"/>
  <c r="AI856" i="1" s="1"/>
  <c r="AJ855" i="1" l="1"/>
  <c r="AK855" i="1" s="1"/>
  <c r="AG858" i="1"/>
  <c r="AH857" i="1"/>
  <c r="AI857" i="1" s="1"/>
  <c r="AJ856" i="1" l="1"/>
  <c r="AK856" i="1" s="1"/>
  <c r="AG859" i="1"/>
  <c r="AH858" i="1"/>
  <c r="AI858" i="1" s="1"/>
  <c r="AJ857" i="1" l="1"/>
  <c r="AK857" i="1" s="1"/>
  <c r="AH859" i="1"/>
  <c r="AI859" i="1" s="1"/>
  <c r="AG860" i="1"/>
  <c r="AG861" i="1" l="1"/>
  <c r="AH860" i="1"/>
  <c r="AI860" i="1" s="1"/>
  <c r="AJ858" i="1"/>
  <c r="AK858" i="1" s="1"/>
  <c r="AH861" i="1" l="1"/>
  <c r="AI861" i="1" s="1"/>
  <c r="AG862" i="1"/>
  <c r="AJ859" i="1"/>
  <c r="AK859" i="1" s="1"/>
  <c r="AJ860" i="1" l="1"/>
  <c r="AK860" i="1" s="1"/>
  <c r="AG863" i="1"/>
  <c r="AH862" i="1"/>
  <c r="AI862" i="1" s="1"/>
  <c r="AJ861" i="1" l="1"/>
  <c r="AK861" i="1" s="1"/>
  <c r="AH863" i="1"/>
  <c r="AI863" i="1" s="1"/>
  <c r="AG864" i="1"/>
  <c r="AJ862" i="1" l="1"/>
  <c r="AK862" i="1" s="1"/>
  <c r="AG865" i="1"/>
  <c r="AH864" i="1"/>
  <c r="AI864" i="1" s="1"/>
  <c r="AJ863" i="1" l="1"/>
  <c r="AK863" i="1" s="1"/>
  <c r="AH865" i="1"/>
  <c r="AI865" i="1" s="1"/>
  <c r="AG866" i="1"/>
  <c r="AJ864" i="1" l="1"/>
  <c r="AK864" i="1" s="1"/>
  <c r="AG867" i="1"/>
  <c r="AH866" i="1"/>
  <c r="AI866" i="1" s="1"/>
  <c r="AJ865" i="1" l="1"/>
  <c r="AK865" i="1" s="1"/>
  <c r="AH867" i="1"/>
  <c r="AI867" i="1" s="1"/>
  <c r="AG868" i="1"/>
  <c r="AJ866" i="1" l="1"/>
  <c r="AK866" i="1" s="1"/>
  <c r="AG869" i="1"/>
  <c r="AH868" i="1"/>
  <c r="AI868" i="1" s="1"/>
  <c r="AJ867" i="1" l="1"/>
  <c r="AK867" i="1" s="1"/>
  <c r="AG870" i="1"/>
  <c r="AH869" i="1"/>
  <c r="AI869" i="1" s="1"/>
  <c r="AJ868" i="1" l="1"/>
  <c r="AK868" i="1" s="1"/>
  <c r="AG871" i="1"/>
  <c r="AH870" i="1"/>
  <c r="AI870" i="1" s="1"/>
  <c r="AJ869" i="1" l="1"/>
  <c r="AK869" i="1" s="1"/>
  <c r="AH871" i="1"/>
  <c r="AI871" i="1" s="1"/>
  <c r="AG872" i="1"/>
  <c r="AJ870" i="1" l="1"/>
  <c r="AK870" i="1" s="1"/>
  <c r="AG873" i="1"/>
  <c r="AH872" i="1"/>
  <c r="AI872" i="1" s="1"/>
  <c r="AJ871" i="1" l="1"/>
  <c r="AK871" i="1" s="1"/>
  <c r="AH873" i="1"/>
  <c r="AI873" i="1" s="1"/>
  <c r="AG874" i="1"/>
  <c r="AJ872" i="1" l="1"/>
  <c r="AK872" i="1" s="1"/>
  <c r="AH874" i="1"/>
  <c r="AI874" i="1" s="1"/>
  <c r="AG875" i="1"/>
  <c r="AJ873" i="1" l="1"/>
  <c r="AK873" i="1" s="1"/>
  <c r="AG876" i="1"/>
  <c r="AH875" i="1"/>
  <c r="AI875" i="1" s="1"/>
  <c r="AJ874" i="1" l="1"/>
  <c r="AK874" i="1" s="1"/>
  <c r="AG877" i="1"/>
  <c r="AH876" i="1"/>
  <c r="AI876" i="1" s="1"/>
  <c r="AJ875" i="1" l="1"/>
  <c r="AK875" i="1" s="1"/>
  <c r="AG878" i="1"/>
  <c r="AH877" i="1"/>
  <c r="AI877" i="1" s="1"/>
  <c r="AJ876" i="1" l="1"/>
  <c r="AK876" i="1" s="1"/>
  <c r="AG879" i="1"/>
  <c r="AH878" i="1"/>
  <c r="AI878" i="1" s="1"/>
  <c r="AJ877" i="1" l="1"/>
  <c r="AK877" i="1" s="1"/>
  <c r="AG880" i="1"/>
  <c r="AH879" i="1"/>
  <c r="AI879" i="1" s="1"/>
  <c r="AJ878" i="1" l="1"/>
  <c r="AK878" i="1" s="1"/>
  <c r="AH880" i="1"/>
  <c r="AI880" i="1" s="1"/>
  <c r="AG881" i="1"/>
  <c r="AG882" i="1" l="1"/>
  <c r="AH881" i="1"/>
  <c r="AI881" i="1" s="1"/>
  <c r="AJ879" i="1"/>
  <c r="AK879" i="1" s="1"/>
  <c r="AG883" i="1" l="1"/>
  <c r="AH882" i="1"/>
  <c r="AI882" i="1" s="1"/>
  <c r="AJ880" i="1"/>
  <c r="AK880" i="1" s="1"/>
  <c r="AJ881" i="1" l="1"/>
  <c r="AK881" i="1" s="1"/>
  <c r="AH883" i="1"/>
  <c r="AI883" i="1" s="1"/>
  <c r="AG884" i="1"/>
  <c r="AG885" i="1" l="1"/>
  <c r="AH884" i="1"/>
  <c r="AI884" i="1" s="1"/>
  <c r="AJ882" i="1"/>
  <c r="AK882" i="1" s="1"/>
  <c r="AG886" i="1" l="1"/>
  <c r="AH885" i="1"/>
  <c r="AI885" i="1" s="1"/>
  <c r="AJ883" i="1"/>
  <c r="AK883" i="1" s="1"/>
  <c r="AH886" i="1" l="1"/>
  <c r="AI886" i="1" s="1"/>
  <c r="AG887" i="1"/>
  <c r="AJ884" i="1"/>
  <c r="AK884" i="1" s="1"/>
  <c r="AJ885" i="1" l="1"/>
  <c r="AK885" i="1" s="1"/>
  <c r="AG888" i="1"/>
  <c r="AH887" i="1"/>
  <c r="AI887" i="1" s="1"/>
  <c r="AJ886" i="1" l="1"/>
  <c r="AK886" i="1" s="1"/>
  <c r="AH888" i="1"/>
  <c r="AI888" i="1" s="1"/>
  <c r="AG889" i="1"/>
  <c r="AJ887" i="1" l="1"/>
  <c r="AK887" i="1" s="1"/>
  <c r="AG890" i="1"/>
  <c r="AH889" i="1"/>
  <c r="AI889" i="1" s="1"/>
  <c r="AJ888" i="1" l="1"/>
  <c r="AK888" i="1" s="1"/>
  <c r="AH890" i="1"/>
  <c r="AI890" i="1" s="1"/>
  <c r="AG891" i="1"/>
  <c r="AJ889" i="1" l="1"/>
  <c r="AK889" i="1" s="1"/>
  <c r="AH891" i="1"/>
  <c r="AI891" i="1" s="1"/>
  <c r="AG892" i="1"/>
  <c r="AJ890" i="1" l="1"/>
  <c r="AK890" i="1" s="1"/>
  <c r="AH892" i="1"/>
  <c r="AI892" i="1" s="1"/>
  <c r="AG893" i="1"/>
  <c r="AJ891" i="1" l="1"/>
  <c r="AK891" i="1" s="1"/>
  <c r="AG894" i="1"/>
  <c r="AH893" i="1"/>
  <c r="AI893" i="1" s="1"/>
  <c r="AJ892" i="1" l="1"/>
  <c r="AK892" i="1" s="1"/>
  <c r="AH894" i="1"/>
  <c r="AI894" i="1" s="1"/>
  <c r="AG895" i="1"/>
  <c r="AJ893" i="1" l="1"/>
  <c r="AK893" i="1" s="1"/>
  <c r="AG896" i="1"/>
  <c r="AH895" i="1"/>
  <c r="AI895" i="1" s="1"/>
  <c r="AJ894" i="1" l="1"/>
  <c r="AK894" i="1" s="1"/>
  <c r="AG897" i="1"/>
  <c r="AH896" i="1"/>
  <c r="AI896" i="1" s="1"/>
  <c r="AJ895" i="1" l="1"/>
  <c r="AK895" i="1" s="1"/>
  <c r="AG898" i="1"/>
  <c r="AH897" i="1"/>
  <c r="AI897" i="1" s="1"/>
  <c r="AJ896" i="1" l="1"/>
  <c r="AK896" i="1" s="1"/>
  <c r="AH898" i="1"/>
  <c r="AI898" i="1" s="1"/>
  <c r="AG899" i="1"/>
  <c r="AJ897" i="1" l="1"/>
  <c r="AK897" i="1" s="1"/>
  <c r="AH899" i="1"/>
  <c r="AI899" i="1" s="1"/>
  <c r="AG900" i="1"/>
  <c r="AJ898" i="1" l="1"/>
  <c r="AK898" i="1" s="1"/>
  <c r="AH900" i="1"/>
  <c r="AI900" i="1" s="1"/>
  <c r="AG901" i="1"/>
  <c r="AJ899" i="1" l="1"/>
  <c r="AK899" i="1" s="1"/>
  <c r="AH901" i="1"/>
  <c r="AI901" i="1" s="1"/>
  <c r="AG902" i="1"/>
  <c r="AJ900" i="1" l="1"/>
  <c r="AK900" i="1" s="1"/>
  <c r="AG903" i="1"/>
  <c r="AH902" i="1"/>
  <c r="AI902" i="1" s="1"/>
  <c r="AJ901" i="1" l="1"/>
  <c r="AK901" i="1" s="1"/>
  <c r="AH903" i="1"/>
  <c r="AI903" i="1" s="1"/>
  <c r="AG904" i="1"/>
  <c r="AJ902" i="1" l="1"/>
  <c r="AK902" i="1" s="1"/>
  <c r="AG905" i="1"/>
  <c r="AH904" i="1"/>
  <c r="AI904" i="1" s="1"/>
  <c r="AJ903" i="1" l="1"/>
  <c r="AK903" i="1" s="1"/>
  <c r="AG906" i="1"/>
  <c r="AH905" i="1"/>
  <c r="AI905" i="1" s="1"/>
  <c r="AJ904" i="1" l="1"/>
  <c r="AK904" i="1" s="1"/>
  <c r="AH906" i="1"/>
  <c r="AI906" i="1" s="1"/>
  <c r="AG907" i="1"/>
  <c r="AJ905" i="1" l="1"/>
  <c r="AK905" i="1" s="1"/>
  <c r="AH907" i="1"/>
  <c r="AI907" i="1" s="1"/>
  <c r="AG908" i="1"/>
  <c r="AJ906" i="1" l="1"/>
  <c r="AK906" i="1" s="1"/>
  <c r="AG909" i="1"/>
  <c r="AH908" i="1"/>
  <c r="AI908" i="1" s="1"/>
  <c r="AJ907" i="1" l="1"/>
  <c r="AK907" i="1" s="1"/>
  <c r="AH909" i="1"/>
  <c r="AI909" i="1" s="1"/>
  <c r="AG910" i="1"/>
  <c r="AJ908" i="1" l="1"/>
  <c r="AK908" i="1" s="1"/>
  <c r="AH910" i="1"/>
  <c r="AI910" i="1" s="1"/>
  <c r="AG911" i="1"/>
  <c r="AH911" i="1" l="1"/>
  <c r="AI911" i="1" s="1"/>
  <c r="AG912" i="1"/>
  <c r="AJ909" i="1"/>
  <c r="AK909" i="1" s="1"/>
  <c r="AG913" i="1" l="1"/>
  <c r="AH912" i="1"/>
  <c r="AI912" i="1" s="1"/>
  <c r="AJ910" i="1"/>
  <c r="AK910" i="1" s="1"/>
  <c r="AH913" i="1" l="1"/>
  <c r="AI913" i="1" s="1"/>
  <c r="AG914" i="1"/>
  <c r="AJ911" i="1"/>
  <c r="AK911" i="1" s="1"/>
  <c r="AJ912" i="1" l="1"/>
  <c r="AK912" i="1" s="1"/>
  <c r="AH914" i="1"/>
  <c r="AI914" i="1" s="1"/>
  <c r="AG915" i="1"/>
  <c r="AJ913" i="1" l="1"/>
  <c r="AK913" i="1" s="1"/>
  <c r="AG916" i="1"/>
  <c r="AH915" i="1"/>
  <c r="AI915" i="1" s="1"/>
  <c r="AJ914" i="1" l="1"/>
  <c r="AK914" i="1" s="1"/>
  <c r="AG917" i="1"/>
  <c r="AH916" i="1"/>
  <c r="AI916" i="1" s="1"/>
  <c r="AJ915" i="1" l="1"/>
  <c r="AK915" i="1" s="1"/>
  <c r="AH917" i="1"/>
  <c r="AI917" i="1" s="1"/>
  <c r="AG918" i="1"/>
  <c r="AJ916" i="1" l="1"/>
  <c r="AK916" i="1" s="1"/>
  <c r="AG919" i="1"/>
  <c r="AH918" i="1"/>
  <c r="AI918" i="1" s="1"/>
  <c r="AJ917" i="1" l="1"/>
  <c r="AK917" i="1" s="1"/>
  <c r="AG920" i="1"/>
  <c r="AH919" i="1"/>
  <c r="AI919" i="1" s="1"/>
  <c r="AJ918" i="1" l="1"/>
  <c r="AK918" i="1" s="1"/>
  <c r="AH920" i="1"/>
  <c r="AI920" i="1" s="1"/>
  <c r="AG921" i="1"/>
  <c r="AJ919" i="1" l="1"/>
  <c r="AK919" i="1" s="1"/>
  <c r="AG922" i="1"/>
  <c r="AH921" i="1"/>
  <c r="AI921" i="1" s="1"/>
  <c r="AJ920" i="1" l="1"/>
  <c r="AK920" i="1" s="1"/>
  <c r="AG923" i="1"/>
  <c r="AH922" i="1"/>
  <c r="AI922" i="1" s="1"/>
  <c r="AJ921" i="1" l="1"/>
  <c r="AK921" i="1" s="1"/>
  <c r="AG924" i="1"/>
  <c r="AH923" i="1"/>
  <c r="AI923" i="1" s="1"/>
  <c r="AJ922" i="1" l="1"/>
  <c r="AK922" i="1" s="1"/>
  <c r="AG925" i="1"/>
  <c r="AH924" i="1"/>
  <c r="AI924" i="1" s="1"/>
  <c r="AJ923" i="1" l="1"/>
  <c r="AK923" i="1" s="1"/>
  <c r="AG926" i="1"/>
  <c r="AH925" i="1"/>
  <c r="AI925" i="1" s="1"/>
  <c r="AJ924" i="1" l="1"/>
  <c r="AK924" i="1" s="1"/>
  <c r="AG927" i="1"/>
  <c r="AH926" i="1"/>
  <c r="AI926" i="1" s="1"/>
  <c r="AJ925" i="1" l="1"/>
  <c r="AK925" i="1" s="1"/>
  <c r="AG928" i="1"/>
  <c r="AH927" i="1"/>
  <c r="AI927" i="1" s="1"/>
  <c r="AJ926" i="1" l="1"/>
  <c r="AK926" i="1" s="1"/>
  <c r="AG929" i="1"/>
  <c r="AH928" i="1"/>
  <c r="AI928" i="1" s="1"/>
  <c r="AJ927" i="1" l="1"/>
  <c r="AK927" i="1" s="1"/>
  <c r="AH929" i="1"/>
  <c r="AI929" i="1" s="1"/>
  <c r="AG930" i="1"/>
  <c r="AJ928" i="1" l="1"/>
  <c r="AK928" i="1" s="1"/>
  <c r="AG931" i="1"/>
  <c r="AH930" i="1"/>
  <c r="AI930" i="1" s="1"/>
  <c r="AJ929" i="1" l="1"/>
  <c r="AK929" i="1" s="1"/>
  <c r="AG932" i="1"/>
  <c r="AH931" i="1"/>
  <c r="AI931" i="1" s="1"/>
  <c r="AJ930" i="1" l="1"/>
  <c r="AK930" i="1" s="1"/>
  <c r="AG933" i="1"/>
  <c r="AH932" i="1"/>
  <c r="AI932" i="1" s="1"/>
  <c r="AJ931" i="1" l="1"/>
  <c r="AK931" i="1" s="1"/>
  <c r="AG934" i="1"/>
  <c r="AH933" i="1"/>
  <c r="AI933" i="1" s="1"/>
  <c r="AJ932" i="1" l="1"/>
  <c r="AK932" i="1" s="1"/>
  <c r="AG935" i="1"/>
  <c r="AH934" i="1"/>
  <c r="AI934" i="1" s="1"/>
  <c r="AJ933" i="1" l="1"/>
  <c r="AK933" i="1" s="1"/>
  <c r="AG936" i="1"/>
  <c r="AH935" i="1"/>
  <c r="AI935" i="1" s="1"/>
  <c r="AJ934" i="1" l="1"/>
  <c r="AK934" i="1" s="1"/>
  <c r="AG937" i="1"/>
  <c r="AH936" i="1"/>
  <c r="AI936" i="1" s="1"/>
  <c r="AJ935" i="1" l="1"/>
  <c r="AK935" i="1" s="1"/>
  <c r="AG938" i="1"/>
  <c r="AH937" i="1"/>
  <c r="AI937" i="1" s="1"/>
  <c r="AJ936" i="1" l="1"/>
  <c r="AK936" i="1" s="1"/>
  <c r="AG939" i="1"/>
  <c r="AH938" i="1"/>
  <c r="AI938" i="1" s="1"/>
  <c r="AJ937" i="1" l="1"/>
  <c r="AK937" i="1" s="1"/>
  <c r="AG940" i="1"/>
  <c r="AH939" i="1"/>
  <c r="AI939" i="1" s="1"/>
  <c r="AJ938" i="1" l="1"/>
  <c r="AK938" i="1" s="1"/>
  <c r="AG941" i="1"/>
  <c r="AH940" i="1"/>
  <c r="AI940" i="1" s="1"/>
  <c r="AJ939" i="1" l="1"/>
  <c r="AK939" i="1" s="1"/>
  <c r="AG942" i="1"/>
  <c r="AH941" i="1"/>
  <c r="AI941" i="1" s="1"/>
  <c r="AJ940" i="1" l="1"/>
  <c r="AK940" i="1" s="1"/>
  <c r="AG943" i="1"/>
  <c r="AH942" i="1"/>
  <c r="AI942" i="1" s="1"/>
  <c r="AJ941" i="1" l="1"/>
  <c r="AK941" i="1" s="1"/>
  <c r="AG944" i="1"/>
  <c r="AH943" i="1"/>
  <c r="AI943" i="1" s="1"/>
  <c r="AJ942" i="1" l="1"/>
  <c r="AK942" i="1" s="1"/>
  <c r="AH944" i="1"/>
  <c r="AI944" i="1" s="1"/>
  <c r="AG945" i="1"/>
  <c r="AJ943" i="1" l="1"/>
  <c r="AK943" i="1" s="1"/>
  <c r="AH945" i="1"/>
  <c r="AI945" i="1" s="1"/>
  <c r="AG946" i="1"/>
  <c r="AJ944" i="1" l="1"/>
  <c r="AK944" i="1" s="1"/>
  <c r="AG947" i="1"/>
  <c r="AH946" i="1"/>
  <c r="AI946" i="1" s="1"/>
  <c r="AJ945" i="1" l="1"/>
  <c r="AK945" i="1" s="1"/>
  <c r="AH947" i="1"/>
  <c r="AI947" i="1" s="1"/>
  <c r="AG948" i="1"/>
  <c r="AJ946" i="1" l="1"/>
  <c r="AK946" i="1" s="1"/>
  <c r="AG949" i="1"/>
  <c r="AH948" i="1"/>
  <c r="AI948" i="1" s="1"/>
  <c r="AJ947" i="1" l="1"/>
  <c r="AK947" i="1" s="1"/>
  <c r="AH949" i="1"/>
  <c r="AI949" i="1" s="1"/>
  <c r="AG950" i="1"/>
  <c r="AJ948" i="1" l="1"/>
  <c r="AK948" i="1" s="1"/>
  <c r="AH950" i="1"/>
  <c r="AI950" i="1" s="1"/>
  <c r="AG951" i="1"/>
  <c r="AJ949" i="1" l="1"/>
  <c r="AK949" i="1" s="1"/>
  <c r="AG952" i="1"/>
  <c r="AH951" i="1"/>
  <c r="AI951" i="1" s="1"/>
  <c r="AJ950" i="1" l="1"/>
  <c r="AK950" i="1" s="1"/>
  <c r="AH952" i="1"/>
  <c r="AI952" i="1" s="1"/>
  <c r="AG953" i="1"/>
  <c r="AJ951" i="1" l="1"/>
  <c r="AK951" i="1" s="1"/>
  <c r="AH953" i="1"/>
  <c r="AI953" i="1" s="1"/>
  <c r="AG954" i="1"/>
  <c r="AG955" i="1" l="1"/>
  <c r="AH954" i="1"/>
  <c r="AI954" i="1" s="1"/>
  <c r="AJ952" i="1"/>
  <c r="AK952" i="1" s="1"/>
  <c r="AJ953" i="1" l="1"/>
  <c r="AK953" i="1" s="1"/>
  <c r="AG956" i="1"/>
  <c r="AH955" i="1"/>
  <c r="AI955" i="1" s="1"/>
  <c r="AJ954" i="1" l="1"/>
  <c r="AK954" i="1" s="1"/>
  <c r="AG957" i="1"/>
  <c r="AH956" i="1"/>
  <c r="AI956" i="1" s="1"/>
  <c r="AJ955" i="1" l="1"/>
  <c r="AK955" i="1" s="1"/>
  <c r="AG958" i="1"/>
  <c r="AH957" i="1"/>
  <c r="AI957" i="1" s="1"/>
  <c r="AJ956" i="1" l="1"/>
  <c r="AK956" i="1" s="1"/>
  <c r="AG959" i="1"/>
  <c r="AH958" i="1"/>
  <c r="AI958" i="1" s="1"/>
  <c r="AJ957" i="1" l="1"/>
  <c r="AK957" i="1" s="1"/>
  <c r="AH959" i="1"/>
  <c r="AI959" i="1" s="1"/>
  <c r="AG960" i="1"/>
  <c r="AJ958" i="1" l="1"/>
  <c r="AK958" i="1" s="1"/>
  <c r="AG961" i="1"/>
  <c r="AH960" i="1"/>
  <c r="AI960" i="1" s="1"/>
  <c r="AJ959" i="1" l="1"/>
  <c r="AK959" i="1" s="1"/>
  <c r="AH961" i="1"/>
  <c r="AI961" i="1" s="1"/>
  <c r="AG962" i="1"/>
  <c r="AJ960" i="1" l="1"/>
  <c r="AK960" i="1" s="1"/>
  <c r="AH962" i="1"/>
  <c r="AI962" i="1" s="1"/>
  <c r="AG963" i="1"/>
  <c r="AJ961" i="1" l="1"/>
  <c r="AK961" i="1" s="1"/>
  <c r="AH963" i="1"/>
  <c r="AI963" i="1" s="1"/>
  <c r="AG964" i="1"/>
  <c r="AJ962" i="1" l="1"/>
  <c r="AK962" i="1" s="1"/>
  <c r="AG965" i="1"/>
  <c r="AH964" i="1"/>
  <c r="AI964" i="1" s="1"/>
  <c r="AJ963" i="1" l="1"/>
  <c r="AK963" i="1" s="1"/>
  <c r="AG966" i="1"/>
  <c r="AH965" i="1"/>
  <c r="AI965" i="1" s="1"/>
  <c r="AJ964" i="1" l="1"/>
  <c r="AK964" i="1" s="1"/>
  <c r="AG967" i="1"/>
  <c r="AH966" i="1"/>
  <c r="AI966" i="1" s="1"/>
  <c r="AJ965" i="1" l="1"/>
  <c r="AK965" i="1" s="1"/>
  <c r="AH967" i="1"/>
  <c r="AI967" i="1" s="1"/>
  <c r="AG968" i="1"/>
  <c r="AJ966" i="1" l="1"/>
  <c r="AK966" i="1" s="1"/>
  <c r="AG969" i="1"/>
  <c r="AH968" i="1"/>
  <c r="AI968" i="1" s="1"/>
  <c r="AJ967" i="1" l="1"/>
  <c r="AK967" i="1" s="1"/>
  <c r="AG970" i="1"/>
  <c r="AH969" i="1"/>
  <c r="AI969" i="1" s="1"/>
  <c r="AJ968" i="1" l="1"/>
  <c r="AK968" i="1" s="1"/>
  <c r="AG971" i="1"/>
  <c r="AH970" i="1"/>
  <c r="AI970" i="1" s="1"/>
  <c r="AJ969" i="1" l="1"/>
  <c r="AK969" i="1" s="1"/>
  <c r="AG972" i="1"/>
  <c r="AH971" i="1"/>
  <c r="AI971" i="1" s="1"/>
  <c r="AG973" i="1" l="1"/>
  <c r="AH972" i="1"/>
  <c r="AI972" i="1" s="1"/>
  <c r="AJ970" i="1"/>
  <c r="AK970" i="1" s="1"/>
  <c r="AJ971" i="1" l="1"/>
  <c r="AK971" i="1" s="1"/>
  <c r="AG974" i="1"/>
  <c r="AH973" i="1"/>
  <c r="AI973" i="1" s="1"/>
  <c r="AJ972" i="1" l="1"/>
  <c r="AK972" i="1" s="1"/>
  <c r="AH974" i="1"/>
  <c r="AI974" i="1" s="1"/>
  <c r="AG975" i="1"/>
  <c r="AH975" i="1" l="1"/>
  <c r="AI975" i="1" s="1"/>
  <c r="AG976" i="1"/>
  <c r="AJ973" i="1"/>
  <c r="AK973" i="1" s="1"/>
  <c r="AH976" i="1" l="1"/>
  <c r="AI976" i="1" s="1"/>
  <c r="AG977" i="1"/>
  <c r="AJ974" i="1"/>
  <c r="AK974" i="1" s="1"/>
  <c r="AH977" i="1" l="1"/>
  <c r="AI977" i="1" s="1"/>
  <c r="AG978" i="1"/>
  <c r="AJ975" i="1"/>
  <c r="AK975" i="1" s="1"/>
  <c r="AH978" i="1" l="1"/>
  <c r="AI978" i="1" s="1"/>
  <c r="AG979" i="1"/>
  <c r="AJ976" i="1"/>
  <c r="AK976" i="1" s="1"/>
  <c r="AG980" i="1" l="1"/>
  <c r="AH979" i="1"/>
  <c r="AI979" i="1" s="1"/>
  <c r="AJ977" i="1"/>
  <c r="AK977" i="1" s="1"/>
  <c r="AJ978" i="1" l="1"/>
  <c r="AK978" i="1" s="1"/>
  <c r="AG981" i="1"/>
  <c r="AH980" i="1"/>
  <c r="AI980" i="1" s="1"/>
  <c r="AJ979" i="1" l="1"/>
  <c r="AK979" i="1" s="1"/>
  <c r="AG982" i="1"/>
  <c r="AH981" i="1"/>
  <c r="AI981" i="1" s="1"/>
  <c r="AJ980" i="1" l="1"/>
  <c r="AK980" i="1" s="1"/>
  <c r="AG983" i="1"/>
  <c r="AH982" i="1"/>
  <c r="AI982" i="1" s="1"/>
  <c r="AJ981" i="1" l="1"/>
  <c r="AK981" i="1" s="1"/>
  <c r="AH983" i="1"/>
  <c r="AI983" i="1" s="1"/>
  <c r="AG984" i="1"/>
  <c r="AJ982" i="1" l="1"/>
  <c r="AK982" i="1" s="1"/>
  <c r="AG985" i="1"/>
  <c r="AH984" i="1"/>
  <c r="AI984" i="1" s="1"/>
  <c r="AJ983" i="1" l="1"/>
  <c r="AK983" i="1" s="1"/>
  <c r="AG986" i="1"/>
  <c r="AH985" i="1"/>
  <c r="AI985" i="1" s="1"/>
  <c r="AJ984" i="1" l="1"/>
  <c r="AK984" i="1" s="1"/>
  <c r="AG987" i="1"/>
  <c r="AH986" i="1"/>
  <c r="AI986" i="1" s="1"/>
  <c r="AJ985" i="1" l="1"/>
  <c r="AK985" i="1" s="1"/>
  <c r="AH987" i="1"/>
  <c r="AI987" i="1" s="1"/>
  <c r="AG988" i="1"/>
  <c r="AJ986" i="1" l="1"/>
  <c r="AK986" i="1" s="1"/>
  <c r="AH988" i="1"/>
  <c r="AI988" i="1" s="1"/>
  <c r="AG989" i="1"/>
  <c r="AJ987" i="1" l="1"/>
  <c r="AK987" i="1" s="1"/>
  <c r="AG990" i="1"/>
  <c r="AH989" i="1"/>
  <c r="AI989" i="1" s="1"/>
  <c r="AJ988" i="1" l="1"/>
  <c r="AK988" i="1" s="1"/>
  <c r="AG991" i="1"/>
  <c r="AH990" i="1"/>
  <c r="AI990" i="1" s="1"/>
  <c r="AJ989" i="1" l="1"/>
  <c r="AK989" i="1" s="1"/>
  <c r="AG992" i="1"/>
  <c r="AH991" i="1"/>
  <c r="AI991" i="1" s="1"/>
  <c r="AJ990" i="1" l="1"/>
  <c r="AK990" i="1" s="1"/>
  <c r="AG993" i="1"/>
  <c r="AH992" i="1"/>
  <c r="AI992" i="1" s="1"/>
  <c r="AJ991" i="1" l="1"/>
  <c r="AK991" i="1" s="1"/>
  <c r="AH993" i="1"/>
  <c r="AI993" i="1" s="1"/>
  <c r="AG994" i="1"/>
  <c r="AJ992" i="1" l="1"/>
  <c r="AK992" i="1" s="1"/>
  <c r="AG995" i="1"/>
  <c r="AH994" i="1"/>
  <c r="AI994" i="1" s="1"/>
  <c r="AJ993" i="1" l="1"/>
  <c r="AK993" i="1" s="1"/>
  <c r="AG996" i="1"/>
  <c r="AH995" i="1"/>
  <c r="AI995" i="1" s="1"/>
  <c r="AJ994" i="1" l="1"/>
  <c r="AK994" i="1" s="1"/>
  <c r="AG997" i="1"/>
  <c r="AH996" i="1"/>
  <c r="AI996" i="1" s="1"/>
  <c r="AJ995" i="1" l="1"/>
  <c r="AK995" i="1" s="1"/>
  <c r="AG998" i="1"/>
  <c r="AH997" i="1"/>
  <c r="AI997" i="1" s="1"/>
  <c r="AJ996" i="1" l="1"/>
  <c r="AK996" i="1" s="1"/>
  <c r="AH998" i="1"/>
  <c r="AI998" i="1" s="1"/>
  <c r="AG999" i="1"/>
  <c r="AH999" i="1" l="1"/>
  <c r="AI999" i="1" s="1"/>
  <c r="AG1000" i="1"/>
  <c r="AJ997" i="1"/>
  <c r="AK997" i="1" s="1"/>
  <c r="AG1001" i="1" l="1"/>
  <c r="AH1000" i="1"/>
  <c r="AI1000" i="1" s="1"/>
  <c r="AJ998" i="1"/>
  <c r="AK998" i="1" s="1"/>
  <c r="AH1001" i="1" l="1"/>
  <c r="AI1001" i="1" s="1"/>
  <c r="AG1002" i="1"/>
  <c r="AJ999" i="1"/>
  <c r="AK999" i="1" s="1"/>
  <c r="AJ1000" i="1" l="1"/>
  <c r="AK1000" i="1" s="1"/>
  <c r="AG1003" i="1"/>
  <c r="AH1002" i="1"/>
  <c r="AI1002" i="1" s="1"/>
  <c r="AJ1001" i="1" l="1"/>
  <c r="AK1001" i="1" s="1"/>
  <c r="AG1004" i="1"/>
  <c r="AH1003" i="1"/>
  <c r="AI1003" i="1" s="1"/>
  <c r="AJ1002" i="1" l="1"/>
  <c r="AK1002" i="1" s="1"/>
  <c r="AG1005" i="1"/>
  <c r="AH1004" i="1"/>
  <c r="AI1004" i="1" s="1"/>
  <c r="AJ1003" i="1" l="1"/>
  <c r="AK1003" i="1" s="1"/>
  <c r="AG1006" i="1"/>
  <c r="AH1005" i="1"/>
  <c r="AI1005" i="1" s="1"/>
  <c r="AJ1004" i="1" l="1"/>
  <c r="AK1004" i="1" s="1"/>
  <c r="AG1007" i="1"/>
  <c r="AH1006" i="1"/>
  <c r="AI1006" i="1" s="1"/>
  <c r="AJ1005" i="1" l="1"/>
  <c r="AK1005" i="1" s="1"/>
  <c r="AG1008" i="1"/>
  <c r="AH1007" i="1"/>
  <c r="AI1007" i="1" s="1"/>
  <c r="AJ1006" i="1" l="1"/>
  <c r="AK1006" i="1" s="1"/>
  <c r="AG1009" i="1"/>
  <c r="AH1008" i="1"/>
  <c r="AI1008" i="1" s="1"/>
  <c r="AJ1007" i="1" l="1"/>
  <c r="AK1007" i="1" s="1"/>
  <c r="AG1010" i="1"/>
  <c r="AH1009" i="1"/>
  <c r="AI1009" i="1" s="1"/>
  <c r="AJ1008" i="1" l="1"/>
  <c r="AK1008" i="1" s="1"/>
  <c r="AG1011" i="1"/>
  <c r="AH1010" i="1"/>
  <c r="AI1010" i="1" s="1"/>
  <c r="AJ1009" i="1" l="1"/>
  <c r="AK1009" i="1" s="1"/>
  <c r="AG1012" i="1"/>
  <c r="AH1011" i="1"/>
  <c r="AI1011" i="1" s="1"/>
  <c r="AJ1010" i="1" l="1"/>
  <c r="AK1010" i="1" s="1"/>
  <c r="AG1013" i="1"/>
  <c r="AH1012" i="1"/>
  <c r="AI1012" i="1" s="1"/>
  <c r="AJ1011" i="1" l="1"/>
  <c r="AK1011" i="1" s="1"/>
  <c r="AG1014" i="1"/>
  <c r="AH1013" i="1"/>
  <c r="AI1013" i="1" s="1"/>
  <c r="AJ1012" i="1" l="1"/>
  <c r="AK1012" i="1" s="1"/>
  <c r="AG1015" i="1"/>
  <c r="AH1014" i="1"/>
  <c r="AI1014" i="1" s="1"/>
  <c r="AH1015" i="1" l="1"/>
  <c r="AI1015" i="1" s="1"/>
  <c r="AG1016" i="1"/>
  <c r="AJ1013" i="1"/>
  <c r="AK1013" i="1" s="1"/>
  <c r="AG1017" i="1" l="1"/>
  <c r="AH1016" i="1"/>
  <c r="AI1016" i="1" s="1"/>
  <c r="AJ1014" i="1"/>
  <c r="AK1014" i="1" s="1"/>
  <c r="AJ1015" i="1" l="1"/>
  <c r="AK1015" i="1" s="1"/>
  <c r="AH1017" i="1"/>
  <c r="AI1017" i="1" s="1"/>
  <c r="AG1018" i="1"/>
  <c r="AJ1016" i="1" l="1"/>
  <c r="AK1016" i="1" s="1"/>
  <c r="AG1019" i="1"/>
  <c r="AH1018" i="1"/>
  <c r="AI1018" i="1" s="1"/>
  <c r="AJ1017" i="1" l="1"/>
  <c r="AK1017" i="1" s="1"/>
  <c r="AG1020" i="1"/>
  <c r="AH1019" i="1"/>
  <c r="AI1019" i="1" s="1"/>
  <c r="AJ1018" i="1" l="1"/>
  <c r="AK1018" i="1" s="1"/>
  <c r="AG1021" i="1"/>
  <c r="AH1020" i="1"/>
  <c r="AI1020" i="1" s="1"/>
  <c r="AJ1019" i="1" l="1"/>
  <c r="AK1019" i="1" s="1"/>
  <c r="AH1021" i="1"/>
  <c r="AI1021" i="1" s="1"/>
  <c r="AG1022" i="1"/>
  <c r="AJ1020" i="1" l="1"/>
  <c r="AK1020" i="1" s="1"/>
  <c r="AG1023" i="1"/>
  <c r="AH1022" i="1"/>
  <c r="AI1022" i="1" s="1"/>
  <c r="AJ1021" i="1" l="1"/>
  <c r="AK1021" i="1" s="1"/>
  <c r="AH1023" i="1"/>
  <c r="AI1023" i="1" s="1"/>
  <c r="AG1024" i="1"/>
  <c r="AJ1022" i="1" l="1"/>
  <c r="AK1022" i="1" s="1"/>
  <c r="AH1024" i="1"/>
  <c r="AI1024" i="1" s="1"/>
  <c r="AG1025" i="1"/>
  <c r="AJ1023" i="1" l="1"/>
  <c r="AK1023" i="1" s="1"/>
  <c r="AG1026" i="1"/>
  <c r="AH1025" i="1"/>
  <c r="AI1025" i="1" s="1"/>
  <c r="AJ1024" i="1" s="1"/>
  <c r="AK1024" i="1" s="1"/>
  <c r="AG1027" i="1" l="1"/>
  <c r="AH1026" i="1"/>
  <c r="AI1026" i="1" s="1"/>
  <c r="AH1027" i="1" l="1"/>
  <c r="AI1027" i="1" s="1"/>
  <c r="AG1028" i="1"/>
  <c r="AJ1025" i="1"/>
  <c r="AK1025" i="1" s="1"/>
  <c r="AG1029" i="1" l="1"/>
  <c r="AH1028" i="1"/>
  <c r="AI1028" i="1" s="1"/>
  <c r="AJ1026" i="1"/>
  <c r="AK1026" i="1" s="1"/>
  <c r="AG1030" i="1" l="1"/>
  <c r="AH1029" i="1"/>
  <c r="AI1029" i="1" s="1"/>
  <c r="AJ1027" i="1"/>
  <c r="AK1027" i="1" s="1"/>
  <c r="AG1031" i="1" l="1"/>
  <c r="AH1030" i="1"/>
  <c r="AI1030" i="1" s="1"/>
  <c r="AJ1028" i="1"/>
  <c r="AK1028" i="1" s="1"/>
  <c r="AJ1029" i="1" l="1"/>
  <c r="AK1029" i="1" s="1"/>
  <c r="AG1032" i="1"/>
  <c r="AH1031" i="1"/>
  <c r="AI1031" i="1" s="1"/>
  <c r="AJ1030" i="1" l="1"/>
  <c r="AK1030" i="1" s="1"/>
  <c r="AG1033" i="1"/>
  <c r="AH1032" i="1"/>
  <c r="AI1032" i="1" s="1"/>
  <c r="AJ1031" i="1" l="1"/>
  <c r="AK1031" i="1" s="1"/>
  <c r="AG1034" i="1"/>
  <c r="AH1033" i="1"/>
  <c r="AI1033" i="1" s="1"/>
  <c r="AJ1032" i="1" l="1"/>
  <c r="AK1032" i="1" s="1"/>
  <c r="AG1035" i="1"/>
  <c r="AH1034" i="1"/>
  <c r="AI1034" i="1" s="1"/>
  <c r="AJ1033" i="1" l="1"/>
  <c r="AK1033" i="1" s="1"/>
  <c r="AG1036" i="1"/>
  <c r="AH1035" i="1"/>
  <c r="AI1035" i="1" s="1"/>
  <c r="AJ1034" i="1" l="1"/>
  <c r="AK1034" i="1" s="1"/>
  <c r="AG1037" i="1"/>
  <c r="AH1036" i="1"/>
  <c r="AI1036" i="1" s="1"/>
  <c r="AJ1035" i="1" l="1"/>
  <c r="AK1035" i="1" s="1"/>
  <c r="AG1038" i="1"/>
  <c r="AH1037" i="1"/>
  <c r="AI1037" i="1" s="1"/>
  <c r="AJ1036" i="1" l="1"/>
  <c r="AK1036" i="1" s="1"/>
  <c r="AG1039" i="1"/>
  <c r="AH1038" i="1"/>
  <c r="AI1038" i="1" s="1"/>
  <c r="AJ1037" i="1" l="1"/>
  <c r="AK1037" i="1" s="1"/>
  <c r="AG1040" i="1"/>
  <c r="AH1039" i="1"/>
  <c r="AI1039" i="1" s="1"/>
  <c r="AJ1038" i="1" l="1"/>
  <c r="AK1038" i="1" s="1"/>
  <c r="AG1041" i="1"/>
  <c r="AH1040" i="1"/>
  <c r="AI1040" i="1" s="1"/>
  <c r="AJ1039" i="1" l="1"/>
  <c r="AK1039" i="1" s="1"/>
  <c r="AG1042" i="1"/>
  <c r="AH1041" i="1"/>
  <c r="AI1041" i="1" s="1"/>
  <c r="AJ1040" i="1" l="1"/>
  <c r="AK1040" i="1" s="1"/>
  <c r="AH1042" i="1"/>
  <c r="AI1042" i="1" s="1"/>
  <c r="AG1043" i="1"/>
  <c r="AG1044" i="1" l="1"/>
  <c r="AH1043" i="1"/>
  <c r="AI1043" i="1" s="1"/>
  <c r="AJ1041" i="1"/>
  <c r="AK1041" i="1" s="1"/>
  <c r="AG1045" i="1" l="1"/>
  <c r="AH1044" i="1"/>
  <c r="AI1044" i="1" s="1"/>
  <c r="AJ1042" i="1"/>
  <c r="AK1042" i="1" s="1"/>
  <c r="AG1046" i="1" l="1"/>
  <c r="AH1045" i="1"/>
  <c r="AI1045" i="1" s="1"/>
  <c r="AJ1043" i="1"/>
  <c r="AK1043" i="1" s="1"/>
  <c r="AH1046" i="1" l="1"/>
  <c r="AI1046" i="1" s="1"/>
  <c r="AG1047" i="1"/>
  <c r="AJ1044" i="1"/>
  <c r="AK1044" i="1" s="1"/>
  <c r="AJ1045" i="1" l="1"/>
  <c r="AK1045" i="1" s="1"/>
  <c r="AG1048" i="1"/>
  <c r="AH1047" i="1"/>
  <c r="AI1047" i="1" s="1"/>
  <c r="AJ1046" i="1" l="1"/>
  <c r="AK1046" i="1" s="1"/>
  <c r="AG1049" i="1"/>
  <c r="AH1048" i="1"/>
  <c r="AI1048" i="1" s="1"/>
  <c r="AJ1047" i="1" l="1"/>
  <c r="AK1047" i="1" s="1"/>
  <c r="AG1050" i="1"/>
  <c r="AH1049" i="1"/>
  <c r="AI1049" i="1" s="1"/>
  <c r="AJ1048" i="1" l="1"/>
  <c r="AK1048" i="1" s="1"/>
  <c r="AG1051" i="1"/>
  <c r="AH1050" i="1"/>
  <c r="AI1050" i="1" s="1"/>
  <c r="AJ1049" i="1" l="1"/>
  <c r="AK1049" i="1" s="1"/>
  <c r="AG1052" i="1"/>
  <c r="AH1051" i="1"/>
  <c r="AI1051" i="1" s="1"/>
  <c r="AJ1050" i="1" l="1"/>
  <c r="AK1050" i="1" s="1"/>
  <c r="AG1053" i="1"/>
  <c r="AH1052" i="1"/>
  <c r="AI1052" i="1" s="1"/>
  <c r="AJ1051" i="1" l="1"/>
  <c r="AK1051" i="1" s="1"/>
  <c r="AG1054" i="1"/>
  <c r="AH1053" i="1"/>
  <c r="AI1053" i="1" s="1"/>
  <c r="AJ1052" i="1" l="1"/>
  <c r="AK1052" i="1" s="1"/>
  <c r="AG1055" i="1"/>
  <c r="AH1054" i="1"/>
  <c r="AI1054" i="1" s="1"/>
  <c r="AJ1053" i="1" l="1"/>
  <c r="AK1053" i="1" s="1"/>
  <c r="AG1056" i="1"/>
  <c r="AH1055" i="1"/>
  <c r="AI1055" i="1" s="1"/>
  <c r="AJ1054" i="1" l="1"/>
  <c r="AK1054" i="1" s="1"/>
  <c r="AG1057" i="1"/>
  <c r="AH1056" i="1"/>
  <c r="AI1056" i="1" s="1"/>
  <c r="AJ1055" i="1" l="1"/>
  <c r="AK1055" i="1" s="1"/>
  <c r="AG1058" i="1"/>
  <c r="AH1057" i="1"/>
  <c r="AI1057" i="1" s="1"/>
  <c r="AJ1056" i="1" l="1"/>
  <c r="AK1056" i="1" s="1"/>
  <c r="AH1058" i="1"/>
  <c r="AI1058" i="1" s="1"/>
  <c r="AG1059" i="1"/>
  <c r="AJ1057" i="1" l="1"/>
  <c r="AK1057" i="1" s="1"/>
  <c r="AG1060" i="1"/>
  <c r="AH1059" i="1"/>
  <c r="AI1059" i="1" s="1"/>
  <c r="AJ1058" i="1" l="1"/>
  <c r="AK1058" i="1" s="1"/>
  <c r="AG1061" i="1"/>
  <c r="AH1060" i="1"/>
  <c r="AI1060" i="1" s="1"/>
  <c r="AJ1059" i="1" l="1"/>
  <c r="AK1059" i="1" s="1"/>
  <c r="AH1061" i="1"/>
  <c r="AI1061" i="1" s="1"/>
  <c r="AG1062" i="1"/>
  <c r="AJ1060" i="1" l="1"/>
  <c r="AK1060" i="1" s="1"/>
  <c r="AG1063" i="1"/>
  <c r="AH1062" i="1"/>
  <c r="AI1062" i="1" s="1"/>
  <c r="AJ1061" i="1" l="1"/>
  <c r="AK1061" i="1" s="1"/>
  <c r="AG1064" i="1"/>
  <c r="AH1063" i="1"/>
  <c r="AI1063" i="1" s="1"/>
  <c r="AJ1062" i="1" l="1"/>
  <c r="AK1062" i="1" s="1"/>
  <c r="AG1065" i="1"/>
  <c r="AH1064" i="1"/>
  <c r="AI1064" i="1" s="1"/>
  <c r="AJ1063" i="1" l="1"/>
  <c r="AK1063" i="1" s="1"/>
  <c r="AG1066" i="1"/>
  <c r="AH1065" i="1"/>
  <c r="AI1065" i="1" s="1"/>
  <c r="AJ1064" i="1" l="1"/>
  <c r="AK1064" i="1" s="1"/>
  <c r="AG1067" i="1"/>
  <c r="AH1066" i="1"/>
  <c r="AI1066" i="1" s="1"/>
  <c r="AJ1065" i="1" l="1"/>
  <c r="AK1065" i="1" s="1"/>
  <c r="AG1068" i="1"/>
  <c r="AH1067" i="1"/>
  <c r="AI1067" i="1" s="1"/>
  <c r="AJ1066" i="1" l="1"/>
  <c r="AK1066" i="1" s="1"/>
  <c r="AG1069" i="1"/>
  <c r="AH1068" i="1"/>
  <c r="AI1068" i="1" s="1"/>
  <c r="AJ1067" i="1" l="1"/>
  <c r="AK1067" i="1" s="1"/>
  <c r="AG1070" i="1"/>
  <c r="AH1069" i="1"/>
  <c r="AI1069" i="1" s="1"/>
  <c r="AJ1068" i="1" l="1"/>
  <c r="AK1068" i="1" s="1"/>
  <c r="AG1071" i="1"/>
  <c r="AH1070" i="1"/>
  <c r="AI1070" i="1" s="1"/>
  <c r="AJ1069" i="1" l="1"/>
  <c r="AK1069" i="1" s="1"/>
  <c r="AG1072" i="1"/>
  <c r="AH1071" i="1"/>
  <c r="AI1071" i="1" s="1"/>
  <c r="AJ1070" i="1" l="1"/>
  <c r="AK1070" i="1" s="1"/>
  <c r="AG1073" i="1"/>
  <c r="AH1072" i="1"/>
  <c r="AI1072" i="1" s="1"/>
  <c r="AJ1071" i="1" l="1"/>
  <c r="AK1071" i="1" s="1"/>
  <c r="AG1074" i="1"/>
  <c r="AH1073" i="1"/>
  <c r="AI1073" i="1" s="1"/>
  <c r="AJ1072" i="1" l="1"/>
  <c r="AK1072" i="1" s="1"/>
  <c r="AH1074" i="1"/>
  <c r="AI1074" i="1" s="1"/>
  <c r="AG1075" i="1"/>
  <c r="AJ1073" i="1" l="1"/>
  <c r="AK1073" i="1" s="1"/>
  <c r="AG1076" i="1"/>
  <c r="AH1075" i="1"/>
  <c r="AI1075" i="1" s="1"/>
  <c r="AJ1074" i="1" l="1"/>
  <c r="AK1074" i="1" s="1"/>
  <c r="AG1077" i="1"/>
  <c r="AH1076" i="1"/>
  <c r="AI1076" i="1" s="1"/>
  <c r="AJ1075" i="1" l="1"/>
  <c r="AK1075" i="1" s="1"/>
  <c r="AG1078" i="1"/>
  <c r="AH1077" i="1"/>
  <c r="AI1077" i="1" s="1"/>
  <c r="AJ1076" i="1" l="1"/>
  <c r="AK1076" i="1" s="1"/>
  <c r="AH1078" i="1"/>
  <c r="AI1078" i="1" s="1"/>
  <c r="AG1079" i="1"/>
  <c r="AJ1077" i="1" l="1"/>
  <c r="AK1077" i="1" s="1"/>
  <c r="AG1080" i="1"/>
  <c r="AH1079" i="1"/>
  <c r="AI1079" i="1" s="1"/>
  <c r="AJ1078" i="1" l="1"/>
  <c r="AK1078" i="1" s="1"/>
  <c r="AG1081" i="1"/>
  <c r="AH1080" i="1"/>
  <c r="AI1080" i="1" s="1"/>
  <c r="AJ1079" i="1" l="1"/>
  <c r="AK1079" i="1" s="1"/>
  <c r="AG1082" i="1"/>
  <c r="AH1081" i="1"/>
  <c r="AI1081" i="1" s="1"/>
  <c r="AJ1080" i="1" l="1"/>
  <c r="AK1080" i="1" s="1"/>
  <c r="AG1083" i="1"/>
  <c r="AH1082" i="1"/>
  <c r="AI1082" i="1" s="1"/>
  <c r="AJ1081" i="1" l="1"/>
  <c r="AK1081" i="1" s="1"/>
  <c r="AG1084" i="1"/>
  <c r="AH1083" i="1"/>
  <c r="AI1083" i="1" s="1"/>
  <c r="AJ1082" i="1" l="1"/>
  <c r="AK1082" i="1" s="1"/>
  <c r="AG1085" i="1"/>
  <c r="AH1084" i="1"/>
  <c r="AI1084" i="1" s="1"/>
  <c r="AJ1083" i="1" l="1"/>
  <c r="AK1083" i="1" s="1"/>
  <c r="AG1086" i="1"/>
  <c r="AH1085" i="1"/>
  <c r="AI1085" i="1" s="1"/>
  <c r="AJ1084" i="1" l="1"/>
  <c r="AK1084" i="1" s="1"/>
  <c r="AG1087" i="1"/>
  <c r="AH1086" i="1"/>
  <c r="AI1086" i="1" s="1"/>
  <c r="AJ1085" i="1" l="1"/>
  <c r="AK1085" i="1" s="1"/>
  <c r="AG1088" i="1"/>
  <c r="AH1087" i="1"/>
  <c r="AI1087" i="1" s="1"/>
  <c r="AJ1086" i="1" l="1"/>
  <c r="AK1086" i="1" s="1"/>
  <c r="AG1089" i="1"/>
  <c r="AH1088" i="1"/>
  <c r="AI1088" i="1" s="1"/>
  <c r="AJ1087" i="1" l="1"/>
  <c r="AK1087" i="1" s="1"/>
  <c r="AG1090" i="1"/>
  <c r="AH1089" i="1"/>
  <c r="AI1089" i="1" s="1"/>
  <c r="AJ1088" i="1" l="1"/>
  <c r="AK1088" i="1" s="1"/>
  <c r="AH1090" i="1"/>
  <c r="AI1090" i="1" s="1"/>
  <c r="AG1091" i="1"/>
  <c r="AJ1089" i="1" l="1"/>
  <c r="AK1089" i="1" s="1"/>
  <c r="AG1092" i="1"/>
  <c r="AH1091" i="1"/>
  <c r="AI1091" i="1" s="1"/>
  <c r="AJ1090" i="1" l="1"/>
  <c r="AK1090" i="1" s="1"/>
  <c r="AG1093" i="1"/>
  <c r="AH1092" i="1"/>
  <c r="AI1092" i="1" s="1"/>
  <c r="AJ1091" i="1" l="1"/>
  <c r="AK1091" i="1" s="1"/>
  <c r="AG1094" i="1"/>
  <c r="AH1093" i="1"/>
  <c r="AI1093" i="1" s="1"/>
  <c r="AJ1092" i="1" l="1"/>
  <c r="AK1092" i="1" s="1"/>
  <c r="AG1095" i="1"/>
  <c r="AH1094" i="1"/>
  <c r="AI1094" i="1" s="1"/>
  <c r="AJ1093" i="1" l="1"/>
  <c r="AK1093" i="1" s="1"/>
  <c r="AG1096" i="1"/>
  <c r="AH1095" i="1"/>
  <c r="AI1095" i="1" s="1"/>
  <c r="AJ1094" i="1" l="1"/>
  <c r="AK1094" i="1" s="1"/>
  <c r="AG1097" i="1"/>
  <c r="AH1096" i="1"/>
  <c r="AI1096" i="1" s="1"/>
  <c r="AJ1095" i="1" l="1"/>
  <c r="AK1095" i="1" s="1"/>
  <c r="AG1098" i="1"/>
  <c r="AH1097" i="1"/>
  <c r="AI1097" i="1" s="1"/>
  <c r="AJ1096" i="1" l="1"/>
  <c r="AK1096" i="1" s="1"/>
  <c r="AH1098" i="1"/>
  <c r="AI1098" i="1" s="1"/>
  <c r="AG1099" i="1"/>
  <c r="AG1100" i="1" l="1"/>
  <c r="AH1099" i="1"/>
  <c r="AI1099" i="1" s="1"/>
  <c r="AJ1097" i="1"/>
  <c r="AK1097" i="1" s="1"/>
  <c r="AG1101" i="1" l="1"/>
  <c r="AH1100" i="1"/>
  <c r="AI1100" i="1" s="1"/>
  <c r="AJ1098" i="1"/>
  <c r="AK1098" i="1" s="1"/>
  <c r="AG1102" i="1" l="1"/>
  <c r="AH1101" i="1"/>
  <c r="AI1101" i="1" s="1"/>
  <c r="AJ1099" i="1"/>
  <c r="AK1099" i="1" s="1"/>
  <c r="AG1103" i="1" l="1"/>
  <c r="AH1102" i="1"/>
  <c r="AI1102" i="1" s="1"/>
  <c r="AJ1100" i="1"/>
  <c r="AK1100" i="1" s="1"/>
  <c r="AG1104" i="1" l="1"/>
  <c r="AH1103" i="1"/>
  <c r="AI1103" i="1" s="1"/>
  <c r="AJ1101" i="1"/>
  <c r="AK1101" i="1" s="1"/>
  <c r="AJ1102" i="1" l="1"/>
  <c r="AK1102" i="1" s="1"/>
  <c r="AG1105" i="1"/>
  <c r="AH1104" i="1"/>
  <c r="AI1104" i="1" s="1"/>
  <c r="AJ1103" i="1" l="1"/>
  <c r="AK1103" i="1" s="1"/>
  <c r="AG1106" i="1"/>
  <c r="AH1105" i="1"/>
  <c r="AI1105" i="1" s="1"/>
  <c r="AJ1104" i="1" l="1"/>
  <c r="AK1104" i="1" s="1"/>
  <c r="AH1106" i="1"/>
  <c r="AI1106" i="1" s="1"/>
  <c r="AG1107" i="1"/>
  <c r="AJ1105" i="1" l="1"/>
  <c r="AK1105" i="1" s="1"/>
  <c r="AG1108" i="1"/>
  <c r="AH1107" i="1"/>
  <c r="AI1107" i="1" s="1"/>
  <c r="AJ1106" i="1" l="1"/>
  <c r="AK1106" i="1" s="1"/>
  <c r="AG1109" i="1"/>
  <c r="AH1108" i="1"/>
  <c r="AI1108" i="1" s="1"/>
  <c r="AJ1107" i="1" l="1"/>
  <c r="AK1107" i="1" s="1"/>
  <c r="AG1110" i="1"/>
  <c r="AH1109" i="1"/>
  <c r="AI1109" i="1" s="1"/>
  <c r="AJ1108" i="1" l="1"/>
  <c r="AK1108" i="1" s="1"/>
  <c r="AH1110" i="1"/>
  <c r="AI1110" i="1" s="1"/>
  <c r="AG1111" i="1"/>
  <c r="AJ1109" i="1" l="1"/>
  <c r="AK1109" i="1" s="1"/>
  <c r="AG1112" i="1"/>
  <c r="AH1111" i="1"/>
  <c r="AI1111" i="1" s="1"/>
  <c r="AJ1110" i="1" l="1"/>
  <c r="AK1110" i="1" s="1"/>
  <c r="AG1113" i="1"/>
  <c r="AH1112" i="1"/>
  <c r="AI1112" i="1" s="1"/>
  <c r="AJ1111" i="1" l="1"/>
  <c r="AK1111" i="1" s="1"/>
  <c r="AG1114" i="1"/>
  <c r="AH1113" i="1"/>
  <c r="AI1113" i="1" s="1"/>
  <c r="AJ1112" i="1" l="1"/>
  <c r="AK1112" i="1" s="1"/>
  <c r="AG1115" i="1"/>
  <c r="AH1114" i="1"/>
  <c r="AI1114" i="1" s="1"/>
  <c r="AJ1113" i="1" l="1"/>
  <c r="AK1113" i="1" s="1"/>
  <c r="AG1116" i="1"/>
  <c r="AH1115" i="1"/>
  <c r="AI1115" i="1" s="1"/>
  <c r="AJ1114" i="1" l="1"/>
  <c r="AK1114" i="1" s="1"/>
  <c r="AH1116" i="1"/>
  <c r="AI1116" i="1" s="1"/>
  <c r="AG1117" i="1"/>
  <c r="AJ1115" i="1" l="1"/>
  <c r="AK1115" i="1" s="1"/>
  <c r="AG1118" i="1"/>
  <c r="AH1117" i="1"/>
  <c r="AI1117" i="1" s="1"/>
  <c r="AJ1116" i="1" l="1"/>
  <c r="AK1116" i="1" s="1"/>
  <c r="AG1119" i="1"/>
  <c r="AH1118" i="1"/>
  <c r="AI1118" i="1" s="1"/>
  <c r="AJ1117" i="1" l="1"/>
  <c r="AK1117" i="1" s="1"/>
  <c r="AG1120" i="1"/>
  <c r="AH1119" i="1"/>
  <c r="AI1119" i="1" s="1"/>
  <c r="AJ1118" i="1" l="1"/>
  <c r="AK1118" i="1" s="1"/>
  <c r="AG1121" i="1"/>
  <c r="AH1120" i="1"/>
  <c r="AI1120" i="1" s="1"/>
  <c r="AJ1119" i="1" l="1"/>
  <c r="AK1119" i="1" s="1"/>
  <c r="AG1122" i="1"/>
  <c r="AH1121" i="1"/>
  <c r="AI1121" i="1" s="1"/>
  <c r="AJ1120" i="1" l="1"/>
  <c r="AK1120" i="1" s="1"/>
  <c r="AH1122" i="1"/>
  <c r="AI1122" i="1" s="1"/>
  <c r="AG1123" i="1"/>
  <c r="AJ1121" i="1" l="1"/>
  <c r="AK1121" i="1" s="1"/>
  <c r="AG1124" i="1"/>
  <c r="AH1123" i="1"/>
  <c r="AI1123" i="1" s="1"/>
  <c r="AJ1122" i="1" l="1"/>
  <c r="AK1122" i="1" s="1"/>
  <c r="AG1125" i="1"/>
  <c r="AH1124" i="1"/>
  <c r="AI1124" i="1" s="1"/>
  <c r="AJ1123" i="1" l="1"/>
  <c r="AK1123" i="1" s="1"/>
  <c r="AG1126" i="1"/>
  <c r="AH1125" i="1"/>
  <c r="AI1125" i="1" s="1"/>
  <c r="AJ1124" i="1" l="1"/>
  <c r="AK1124" i="1" s="1"/>
  <c r="AH1126" i="1"/>
  <c r="AI1126" i="1" s="1"/>
  <c r="AG1127" i="1"/>
  <c r="AG1128" i="1" l="1"/>
  <c r="AH1127" i="1"/>
  <c r="AI1127" i="1" s="1"/>
  <c r="AJ1125" i="1"/>
  <c r="AK1125" i="1" s="1"/>
  <c r="AJ1126" i="1" l="1"/>
  <c r="AK1126" i="1" s="1"/>
  <c r="AG1129" i="1"/>
  <c r="AH1128" i="1"/>
  <c r="AI1128" i="1" s="1"/>
  <c r="AG1130" i="1" l="1"/>
  <c r="AH1129" i="1"/>
  <c r="AI1129" i="1" s="1"/>
  <c r="AJ1127" i="1"/>
  <c r="AK1127" i="1" s="1"/>
  <c r="AJ1128" i="1" l="1"/>
  <c r="AK1128" i="1" s="1"/>
  <c r="AG1131" i="1"/>
  <c r="AH1130" i="1"/>
  <c r="AI1130" i="1" s="1"/>
  <c r="AG1132" i="1" l="1"/>
  <c r="AH1131" i="1"/>
  <c r="AI1131" i="1" s="1"/>
  <c r="AJ1129" i="1"/>
  <c r="AK1129" i="1" s="1"/>
  <c r="AJ1130" i="1" l="1"/>
  <c r="AK1130" i="1" s="1"/>
  <c r="AG1133" i="1"/>
  <c r="AH1132" i="1"/>
  <c r="AI1132" i="1" s="1"/>
  <c r="AJ1131" i="1" l="1"/>
  <c r="AK1131" i="1" s="1"/>
  <c r="AG1134" i="1"/>
  <c r="AH1133" i="1"/>
  <c r="AI1133" i="1" s="1"/>
  <c r="AJ1132" i="1" l="1"/>
  <c r="AK1132" i="1" s="1"/>
  <c r="AG1135" i="1"/>
  <c r="AH1134" i="1"/>
  <c r="AI1134" i="1" s="1"/>
  <c r="AJ1133" i="1" l="1"/>
  <c r="AK1133" i="1" s="1"/>
  <c r="AG1136" i="1"/>
  <c r="AH1135" i="1"/>
  <c r="AI1135" i="1" s="1"/>
  <c r="AJ1134" i="1" l="1"/>
  <c r="AK1134" i="1" s="1"/>
  <c r="AG1137" i="1"/>
  <c r="AH1136" i="1"/>
  <c r="AI1136" i="1" s="1"/>
  <c r="AJ1135" i="1" l="1"/>
  <c r="AK1135" i="1" s="1"/>
  <c r="AG1138" i="1"/>
  <c r="AH1137" i="1"/>
  <c r="AI1137" i="1" s="1"/>
  <c r="AJ1136" i="1" l="1"/>
  <c r="AK1136" i="1" s="1"/>
  <c r="AH1138" i="1"/>
  <c r="AI1138" i="1" s="1"/>
  <c r="AG1139" i="1"/>
  <c r="AJ1137" i="1" l="1"/>
  <c r="AK1137" i="1" s="1"/>
  <c r="AG1140" i="1"/>
  <c r="AH1139" i="1"/>
  <c r="AI1139" i="1" s="1"/>
  <c r="AJ1138" i="1" l="1"/>
  <c r="AK1138" i="1" s="1"/>
  <c r="AG1141" i="1"/>
  <c r="AH1140" i="1"/>
  <c r="AI1140" i="1" s="1"/>
  <c r="AJ1139" i="1" l="1"/>
  <c r="AK1139" i="1" s="1"/>
  <c r="AG1142" i="1"/>
  <c r="AH1141" i="1"/>
  <c r="AI1141" i="1" s="1"/>
  <c r="AJ1140" i="1" l="1"/>
  <c r="AK1140" i="1" s="1"/>
  <c r="AG1143" i="1"/>
  <c r="AH1142" i="1"/>
  <c r="AI1142" i="1" s="1"/>
  <c r="AJ1141" i="1" l="1"/>
  <c r="AK1141" i="1" s="1"/>
  <c r="AG1144" i="1"/>
  <c r="AH1143" i="1"/>
  <c r="AI1143" i="1" s="1"/>
  <c r="AJ1142" i="1" l="1"/>
  <c r="AK1142" i="1" s="1"/>
  <c r="AG1145" i="1"/>
  <c r="AH1144" i="1"/>
  <c r="AI1144" i="1" s="1"/>
  <c r="AJ1143" i="1" l="1"/>
  <c r="AK1143" i="1" s="1"/>
  <c r="AG1146" i="1"/>
  <c r="AH1145" i="1"/>
  <c r="AI1145" i="1" s="1"/>
  <c r="AJ1144" i="1" l="1"/>
  <c r="AK1144" i="1" s="1"/>
  <c r="AG1147" i="1"/>
  <c r="AH1146" i="1"/>
  <c r="AI1146" i="1" s="1"/>
  <c r="AJ1145" i="1" l="1"/>
  <c r="AK1145" i="1" s="1"/>
  <c r="AG1148" i="1"/>
  <c r="AH1147" i="1"/>
  <c r="AI1147" i="1" s="1"/>
  <c r="AJ1146" i="1" l="1"/>
  <c r="AK1146" i="1" s="1"/>
  <c r="AG1149" i="1"/>
  <c r="AH1148" i="1"/>
  <c r="AI1148" i="1" s="1"/>
  <c r="AJ1147" i="1" l="1"/>
  <c r="AK1147" i="1" s="1"/>
  <c r="AG1150" i="1"/>
  <c r="AH1149" i="1"/>
  <c r="AI1149" i="1" s="1"/>
  <c r="AJ1148" i="1" l="1"/>
  <c r="AK1148" i="1" s="1"/>
  <c r="AG1151" i="1"/>
  <c r="AH1150" i="1"/>
  <c r="AI1150" i="1" s="1"/>
  <c r="AJ1149" i="1" l="1"/>
  <c r="AK1149" i="1" s="1"/>
  <c r="AH1151" i="1"/>
  <c r="AI1151" i="1" s="1"/>
  <c r="AG1152" i="1"/>
  <c r="AJ1150" i="1" l="1"/>
  <c r="AK1150" i="1" s="1"/>
  <c r="AG1153" i="1"/>
  <c r="AH1152" i="1"/>
  <c r="AI1152" i="1" s="1"/>
  <c r="AJ1151" i="1" l="1"/>
  <c r="AK1151" i="1" s="1"/>
  <c r="AH1153" i="1"/>
  <c r="AI1153" i="1" s="1"/>
  <c r="AG1154" i="1"/>
  <c r="AJ1152" i="1" l="1"/>
  <c r="AK1152" i="1" s="1"/>
  <c r="AG1155" i="1"/>
  <c r="AH1154" i="1"/>
  <c r="AI1154" i="1" s="1"/>
  <c r="AJ1153" i="1" l="1"/>
  <c r="AK1153" i="1" s="1"/>
  <c r="AG1156" i="1"/>
  <c r="AH1155" i="1"/>
  <c r="AI1155" i="1" s="1"/>
  <c r="AJ1154" i="1" l="1"/>
  <c r="AK1154" i="1" s="1"/>
  <c r="AG1157" i="1"/>
  <c r="AH1156" i="1"/>
  <c r="AI1156" i="1" s="1"/>
  <c r="AJ1155" i="1" l="1"/>
  <c r="AK1155" i="1" s="1"/>
  <c r="AG1158" i="1"/>
  <c r="AH1157" i="1"/>
  <c r="AI1157" i="1" s="1"/>
  <c r="AJ1156" i="1" l="1"/>
  <c r="AK1156" i="1" s="1"/>
  <c r="AH1158" i="1"/>
  <c r="AI1158" i="1" s="1"/>
  <c r="AG1159" i="1"/>
  <c r="AG1160" i="1" l="1"/>
  <c r="AH1159" i="1"/>
  <c r="AI1159" i="1" s="1"/>
  <c r="AJ1157" i="1"/>
  <c r="AK1157" i="1" s="1"/>
  <c r="AJ1158" i="1" l="1"/>
  <c r="AK1158" i="1" s="1"/>
  <c r="AG1161" i="1"/>
  <c r="AH1160" i="1"/>
  <c r="AI1160" i="1" s="1"/>
  <c r="AJ1159" i="1" l="1"/>
  <c r="AK1159" i="1" s="1"/>
  <c r="AG1162" i="1"/>
  <c r="AH1161" i="1"/>
  <c r="AI1161" i="1" s="1"/>
  <c r="AJ1160" i="1" l="1"/>
  <c r="AK1160" i="1" s="1"/>
  <c r="AG1163" i="1"/>
  <c r="AH1162" i="1"/>
  <c r="AI1162" i="1" s="1"/>
  <c r="AJ1161" i="1" l="1"/>
  <c r="AK1161" i="1" s="1"/>
  <c r="AG1164" i="1"/>
  <c r="AH1163" i="1"/>
  <c r="AI1163" i="1" s="1"/>
  <c r="AJ1162" i="1" l="1"/>
  <c r="AK1162" i="1" s="1"/>
  <c r="AG1165" i="1"/>
  <c r="AH1164" i="1"/>
  <c r="AI1164" i="1" s="1"/>
  <c r="AJ1163" i="1" l="1"/>
  <c r="AK1163" i="1" s="1"/>
  <c r="AG1166" i="1"/>
  <c r="AH1165" i="1"/>
  <c r="AI1165" i="1" s="1"/>
  <c r="AJ1164" i="1" l="1"/>
  <c r="AK1164" i="1" s="1"/>
  <c r="AG1167" i="1"/>
  <c r="AH1166" i="1"/>
  <c r="AI1166" i="1" s="1"/>
  <c r="AJ1165" i="1" l="1"/>
  <c r="AK1165" i="1" s="1"/>
  <c r="AG1168" i="1"/>
  <c r="AH1167" i="1"/>
  <c r="AI1167" i="1" s="1"/>
  <c r="AJ1166" i="1" l="1"/>
  <c r="AK1166" i="1" s="1"/>
  <c r="AG1169" i="1"/>
  <c r="AH1168" i="1"/>
  <c r="AI1168" i="1" s="1"/>
  <c r="AJ1167" i="1" l="1"/>
  <c r="AK1167" i="1" s="1"/>
  <c r="AH1169" i="1"/>
  <c r="AI1169" i="1" s="1"/>
  <c r="AG1170" i="1"/>
  <c r="AG1171" i="1" l="1"/>
  <c r="AH1170" i="1"/>
  <c r="AI1170" i="1" s="1"/>
  <c r="AJ1168" i="1"/>
  <c r="AK1168" i="1" s="1"/>
  <c r="AJ1169" i="1" l="1"/>
  <c r="AK1169" i="1" s="1"/>
  <c r="AG1172" i="1"/>
  <c r="AH1171" i="1"/>
  <c r="AI1171" i="1" s="1"/>
  <c r="AJ1170" i="1" l="1"/>
  <c r="AK1170" i="1" s="1"/>
  <c r="AG1173" i="1"/>
  <c r="AH1172" i="1"/>
  <c r="AI1172" i="1" s="1"/>
  <c r="AJ1171" i="1" l="1"/>
  <c r="AK1171" i="1" s="1"/>
  <c r="AG1174" i="1"/>
  <c r="AH1173" i="1"/>
  <c r="AI1173" i="1" s="1"/>
  <c r="AJ1172" i="1" l="1"/>
  <c r="AK1172" i="1" s="1"/>
  <c r="AG1175" i="1"/>
  <c r="AH1174" i="1"/>
  <c r="AI1174" i="1" s="1"/>
  <c r="AJ1173" i="1" l="1"/>
  <c r="AK1173" i="1" s="1"/>
  <c r="AG1176" i="1"/>
  <c r="AH1175" i="1"/>
  <c r="AI1175" i="1" s="1"/>
  <c r="AJ1174" i="1" l="1"/>
  <c r="AK1174" i="1" s="1"/>
  <c r="AG1177" i="1"/>
  <c r="AH1176" i="1"/>
  <c r="AI1176" i="1" s="1"/>
  <c r="AJ1175" i="1" l="1"/>
  <c r="AK1175" i="1" s="1"/>
  <c r="AG1178" i="1"/>
  <c r="AH1177" i="1"/>
  <c r="AI1177" i="1" s="1"/>
  <c r="AJ1176" i="1" l="1"/>
  <c r="AK1176" i="1" s="1"/>
  <c r="AG1179" i="1"/>
  <c r="AH1178" i="1"/>
  <c r="AI1178" i="1" s="1"/>
  <c r="AJ1177" i="1" l="1"/>
  <c r="AK1177" i="1" s="1"/>
  <c r="AG1180" i="1"/>
  <c r="AH1179" i="1"/>
  <c r="AI1179" i="1" s="1"/>
  <c r="AJ1178" i="1" l="1"/>
  <c r="AK1178" i="1" s="1"/>
  <c r="AG1181" i="1"/>
  <c r="AH1180" i="1"/>
  <c r="AI1180" i="1" s="1"/>
  <c r="AJ1179" i="1" l="1"/>
  <c r="AK1179" i="1" s="1"/>
  <c r="AG1182" i="1"/>
  <c r="AH1181" i="1"/>
  <c r="AI1181" i="1" s="1"/>
  <c r="AJ1180" i="1" l="1"/>
  <c r="AK1180" i="1" s="1"/>
  <c r="AG1183" i="1"/>
  <c r="AH1182" i="1"/>
  <c r="AI1182" i="1" s="1"/>
  <c r="AJ1181" i="1" l="1"/>
  <c r="AK1181" i="1" s="1"/>
  <c r="AG1184" i="1"/>
  <c r="AH1183" i="1"/>
  <c r="AI1183" i="1" s="1"/>
  <c r="AJ1182" i="1" l="1"/>
  <c r="AK1182" i="1" s="1"/>
  <c r="AG1185" i="1"/>
  <c r="AH1184" i="1"/>
  <c r="AI1184" i="1" s="1"/>
  <c r="AJ1183" i="1" l="1"/>
  <c r="AK1183" i="1" s="1"/>
  <c r="AG1186" i="1"/>
  <c r="AH1185" i="1"/>
  <c r="AI1185" i="1" s="1"/>
  <c r="AJ1184" i="1" l="1"/>
  <c r="AK1184" i="1" s="1"/>
  <c r="AG1187" i="1"/>
  <c r="AH1186" i="1"/>
  <c r="AI1186" i="1" s="1"/>
  <c r="AJ1185" i="1" l="1"/>
  <c r="AK1185" i="1" s="1"/>
  <c r="AG1188" i="1"/>
  <c r="AH1187" i="1"/>
  <c r="AI1187" i="1" s="1"/>
  <c r="AJ1186" i="1" l="1"/>
  <c r="AK1186" i="1" s="1"/>
  <c r="AG1189" i="1"/>
  <c r="AH1188" i="1"/>
  <c r="AI1188" i="1" s="1"/>
  <c r="AJ1187" i="1" l="1"/>
  <c r="AK1187" i="1" s="1"/>
  <c r="AG1190" i="1"/>
  <c r="AH1189" i="1"/>
  <c r="AI1189" i="1" s="1"/>
  <c r="AJ1188" i="1" l="1"/>
  <c r="AK1188" i="1" s="1"/>
  <c r="AG1191" i="1"/>
  <c r="AH1190" i="1"/>
  <c r="AI1190" i="1" s="1"/>
  <c r="AJ1189" i="1" l="1"/>
  <c r="AK1189" i="1" s="1"/>
  <c r="AG1192" i="1"/>
  <c r="AH1191" i="1"/>
  <c r="AI1191" i="1" s="1"/>
  <c r="AJ1190" i="1" l="1"/>
  <c r="AK1190" i="1" s="1"/>
  <c r="AG1193" i="1"/>
  <c r="AH1192" i="1"/>
  <c r="AI1192" i="1" s="1"/>
  <c r="AJ1191" i="1" l="1"/>
  <c r="AK1191" i="1" s="1"/>
  <c r="AG1194" i="1"/>
  <c r="AH1193" i="1"/>
  <c r="AI1193" i="1" s="1"/>
  <c r="AJ1192" i="1" l="1"/>
  <c r="AK1192" i="1" s="1"/>
  <c r="AG1195" i="1"/>
  <c r="AH1194" i="1"/>
  <c r="AI1194" i="1" s="1"/>
  <c r="AJ1193" i="1" l="1"/>
  <c r="AK1193" i="1" s="1"/>
  <c r="AG1196" i="1"/>
  <c r="AH1195" i="1"/>
  <c r="AI1195" i="1" s="1"/>
  <c r="AJ1194" i="1" l="1"/>
  <c r="AK1194" i="1" s="1"/>
  <c r="AG1197" i="1"/>
  <c r="AH1196" i="1"/>
  <c r="AI1196" i="1" s="1"/>
  <c r="AJ1195" i="1" l="1"/>
  <c r="AK1195" i="1" s="1"/>
  <c r="AG1198" i="1"/>
  <c r="AH1197" i="1"/>
  <c r="AI1197" i="1" s="1"/>
  <c r="AJ1196" i="1" l="1"/>
  <c r="AK1196" i="1" s="1"/>
  <c r="AG1199" i="1"/>
  <c r="AH1198" i="1"/>
  <c r="AI1198" i="1" s="1"/>
  <c r="AJ1197" i="1" l="1"/>
  <c r="AK1197" i="1" s="1"/>
  <c r="AG1200" i="1"/>
  <c r="AH1199" i="1"/>
  <c r="AI1199" i="1" s="1"/>
  <c r="AJ1198" i="1" l="1"/>
  <c r="AK1198" i="1" s="1"/>
  <c r="AG1201" i="1"/>
  <c r="AH1200" i="1"/>
  <c r="AI1200" i="1" s="1"/>
  <c r="AG1202" i="1" l="1"/>
  <c r="AH1201" i="1"/>
  <c r="AI1201" i="1" s="1"/>
  <c r="AJ1199" i="1"/>
  <c r="AK1199" i="1" s="1"/>
  <c r="AJ1200" i="1" l="1"/>
  <c r="AK1200" i="1" s="1"/>
  <c r="AG1203" i="1"/>
  <c r="AH1202" i="1"/>
  <c r="AI1202" i="1" s="1"/>
  <c r="AJ1201" i="1" l="1"/>
  <c r="AK1201" i="1" s="1"/>
  <c r="AG1204" i="1"/>
  <c r="AH1203" i="1"/>
  <c r="AI1203" i="1" s="1"/>
  <c r="AJ1202" i="1" l="1"/>
  <c r="AK1202" i="1" s="1"/>
  <c r="AH1204" i="1"/>
  <c r="AI1204" i="1" s="1"/>
  <c r="AG1205" i="1"/>
  <c r="AJ1203" i="1" l="1"/>
  <c r="AK1203" i="1" s="1"/>
  <c r="AG1206" i="1"/>
  <c r="AH1205" i="1"/>
  <c r="AI1205" i="1" s="1"/>
  <c r="AJ1204" i="1" l="1"/>
  <c r="AK1204" i="1" s="1"/>
  <c r="AG1207" i="1"/>
  <c r="AH1206" i="1"/>
  <c r="AI1206" i="1" s="1"/>
  <c r="AJ1205" i="1" l="1"/>
  <c r="AK1205" i="1" s="1"/>
  <c r="AG1208" i="1"/>
  <c r="AH1207" i="1"/>
  <c r="AI1207" i="1" s="1"/>
  <c r="AJ1206" i="1" l="1"/>
  <c r="AK1206" i="1" s="1"/>
  <c r="AG1209" i="1"/>
  <c r="AH1208" i="1"/>
  <c r="AI1208" i="1" s="1"/>
  <c r="AJ1207" i="1" l="1"/>
  <c r="AK1207" i="1" s="1"/>
  <c r="AG1210" i="1"/>
  <c r="AH1209" i="1"/>
  <c r="AI1209" i="1" s="1"/>
  <c r="AJ1208" i="1" l="1"/>
  <c r="AK1208" i="1" s="1"/>
  <c r="AG1211" i="1"/>
  <c r="AH1210" i="1"/>
  <c r="AI1210" i="1" s="1"/>
  <c r="AJ1209" i="1" l="1"/>
  <c r="AK1209" i="1" s="1"/>
  <c r="AG1212" i="1"/>
  <c r="AH1211" i="1"/>
  <c r="AI1211" i="1" s="1"/>
  <c r="AJ1210" i="1" l="1"/>
  <c r="AK1210" i="1" s="1"/>
  <c r="AG1213" i="1"/>
  <c r="AH1212" i="1"/>
  <c r="AI1212" i="1" s="1"/>
  <c r="AJ1211" i="1" l="1"/>
  <c r="AK1211" i="1" s="1"/>
  <c r="AG1214" i="1"/>
  <c r="AH1213" i="1"/>
  <c r="AI1213" i="1" s="1"/>
  <c r="AJ1212" i="1" l="1"/>
  <c r="AK1212" i="1" s="1"/>
  <c r="AG1215" i="1"/>
  <c r="AH1214" i="1"/>
  <c r="AI1214" i="1" s="1"/>
  <c r="AJ1213" i="1" l="1"/>
  <c r="AK1213" i="1" s="1"/>
  <c r="AG1216" i="1"/>
  <c r="AH1215" i="1"/>
  <c r="AI1215" i="1" s="1"/>
  <c r="AJ1214" i="1" l="1"/>
  <c r="AK1214" i="1" s="1"/>
  <c r="AG1217" i="1"/>
  <c r="AH1216" i="1"/>
  <c r="AI1216" i="1" s="1"/>
  <c r="AJ1215" i="1" l="1"/>
  <c r="AK1215" i="1" s="1"/>
  <c r="AG1218" i="1"/>
  <c r="AH1217" i="1"/>
  <c r="AI1217" i="1" s="1"/>
  <c r="AJ1216" i="1" l="1"/>
  <c r="AK1216" i="1" s="1"/>
  <c r="AG1219" i="1"/>
  <c r="AH1218" i="1"/>
  <c r="AI1218" i="1" s="1"/>
  <c r="AJ1217" i="1" l="1"/>
  <c r="AK1217" i="1" s="1"/>
  <c r="AG1220" i="1"/>
  <c r="AH1219" i="1"/>
  <c r="AI1219" i="1" s="1"/>
  <c r="AJ1218" i="1" l="1"/>
  <c r="AK1218" i="1" s="1"/>
  <c r="AH1220" i="1"/>
  <c r="AI1220" i="1" s="1"/>
  <c r="AG1221" i="1"/>
  <c r="AJ1219" i="1" l="1"/>
  <c r="AK1219" i="1" s="1"/>
  <c r="AG1222" i="1"/>
  <c r="AH1221" i="1"/>
  <c r="AI1221" i="1" s="1"/>
  <c r="AJ1220" i="1" l="1"/>
  <c r="AK1220" i="1" s="1"/>
  <c r="AG1223" i="1"/>
  <c r="AH1222" i="1"/>
  <c r="AI1222" i="1" s="1"/>
  <c r="AJ1221" i="1" l="1"/>
  <c r="AK1221" i="1" s="1"/>
  <c r="AG1224" i="1"/>
  <c r="AH1223" i="1"/>
  <c r="AI1223" i="1" s="1"/>
  <c r="AJ1222" i="1" l="1"/>
  <c r="AK1222" i="1" s="1"/>
  <c r="AG1225" i="1"/>
  <c r="AH1224" i="1"/>
  <c r="AI1224" i="1" s="1"/>
  <c r="AJ1223" i="1" l="1"/>
  <c r="AK1223" i="1" s="1"/>
  <c r="AG1226" i="1"/>
  <c r="AH1225" i="1"/>
  <c r="AI1225" i="1" s="1"/>
  <c r="AJ1224" i="1" l="1"/>
  <c r="AK1224" i="1" s="1"/>
  <c r="AG1227" i="1"/>
  <c r="AH1226" i="1"/>
  <c r="AI1226" i="1" s="1"/>
  <c r="AJ1225" i="1" l="1"/>
  <c r="AK1225" i="1" s="1"/>
  <c r="AG1228" i="1"/>
  <c r="AH1227" i="1"/>
  <c r="AI1227" i="1" s="1"/>
  <c r="AJ1226" i="1" l="1"/>
  <c r="AK1226" i="1" s="1"/>
  <c r="AG1229" i="1"/>
  <c r="AH1228" i="1"/>
  <c r="AI1228" i="1" s="1"/>
  <c r="AJ1227" i="1" l="1"/>
  <c r="AK1227" i="1" s="1"/>
  <c r="AG1230" i="1"/>
  <c r="AH1229" i="1"/>
  <c r="AI1229" i="1" s="1"/>
  <c r="AJ1228" i="1" l="1"/>
  <c r="AK1228" i="1" s="1"/>
  <c r="AG1231" i="1"/>
  <c r="AH1230" i="1"/>
  <c r="AI1230" i="1" s="1"/>
  <c r="AJ1229" i="1" l="1"/>
  <c r="AK1229" i="1" s="1"/>
  <c r="AG1232" i="1"/>
  <c r="AH1231" i="1"/>
  <c r="AI1231" i="1" s="1"/>
  <c r="AJ1230" i="1" l="1"/>
  <c r="AK1230" i="1" s="1"/>
  <c r="AG1233" i="1"/>
  <c r="AH1232" i="1"/>
  <c r="AI1232" i="1" s="1"/>
  <c r="AJ1231" i="1" l="1"/>
  <c r="AK1231" i="1" s="1"/>
  <c r="AH1233" i="1"/>
  <c r="AI1233" i="1" s="1"/>
  <c r="AG1234" i="1"/>
  <c r="AG1235" i="1" l="1"/>
  <c r="AH1234" i="1"/>
  <c r="AI1234" i="1" s="1"/>
  <c r="AJ1232" i="1"/>
  <c r="AK1232" i="1" s="1"/>
  <c r="AG1236" i="1" l="1"/>
  <c r="AH1235" i="1"/>
  <c r="AI1235" i="1" s="1"/>
  <c r="AJ1233" i="1"/>
  <c r="AK1233" i="1" s="1"/>
  <c r="AH1236" i="1" l="1"/>
  <c r="AI1236" i="1" s="1"/>
  <c r="AG1237" i="1"/>
  <c r="AJ1234" i="1"/>
  <c r="AK1234" i="1" s="1"/>
  <c r="AJ1235" i="1" l="1"/>
  <c r="AK1235" i="1" s="1"/>
  <c r="AG1238" i="1"/>
  <c r="AH1237" i="1"/>
  <c r="AI1237" i="1" s="1"/>
  <c r="AJ1236" i="1" l="1"/>
  <c r="AK1236" i="1" s="1"/>
  <c r="AH1238" i="1"/>
  <c r="AI1238" i="1" s="1"/>
  <c r="AG1239" i="1"/>
  <c r="AJ1237" i="1" l="1"/>
  <c r="AK1237" i="1" s="1"/>
  <c r="AG1240" i="1"/>
  <c r="AH1239" i="1"/>
  <c r="AI1239" i="1" s="1"/>
  <c r="AJ1238" i="1" l="1"/>
  <c r="AK1238" i="1" s="1"/>
  <c r="AG1241" i="1"/>
  <c r="AH1240" i="1"/>
  <c r="AI1240" i="1" s="1"/>
  <c r="AJ1239" i="1" l="1"/>
  <c r="AK1239" i="1" s="1"/>
  <c r="AG1242" i="1"/>
  <c r="AH1241" i="1"/>
  <c r="AI1241" i="1" s="1"/>
  <c r="AJ1240" i="1" l="1"/>
  <c r="AK1240" i="1" s="1"/>
  <c r="AG1243" i="1"/>
  <c r="AH1242" i="1"/>
  <c r="AI1242" i="1" s="1"/>
  <c r="AJ1241" i="1" l="1"/>
  <c r="AK1241" i="1" s="1"/>
  <c r="AG1244" i="1"/>
  <c r="AH1243" i="1"/>
  <c r="AI1243" i="1" s="1"/>
  <c r="AJ1242" i="1" l="1"/>
  <c r="AK1242" i="1" s="1"/>
  <c r="AG1245" i="1"/>
  <c r="AH1244" i="1"/>
  <c r="AI1244" i="1" s="1"/>
  <c r="AJ1243" i="1" l="1"/>
  <c r="AK1243" i="1" s="1"/>
  <c r="AG1246" i="1"/>
  <c r="AH1245" i="1"/>
  <c r="AI1245" i="1" s="1"/>
  <c r="AJ1244" i="1" l="1"/>
  <c r="AK1244" i="1" s="1"/>
  <c r="AG1247" i="1"/>
  <c r="AH1246" i="1"/>
  <c r="AI1246" i="1" s="1"/>
  <c r="AJ1245" i="1" l="1"/>
  <c r="AK1245" i="1" s="1"/>
  <c r="AG1248" i="1"/>
  <c r="AH1247" i="1"/>
  <c r="AI1247" i="1" s="1"/>
  <c r="AJ1246" i="1" l="1"/>
  <c r="AK1246" i="1" s="1"/>
  <c r="AG1249" i="1"/>
  <c r="AH1248" i="1"/>
  <c r="AI1248" i="1" s="1"/>
  <c r="AJ1247" i="1" l="1"/>
  <c r="AK1247" i="1" s="1"/>
  <c r="AG1250" i="1"/>
  <c r="AH1249" i="1"/>
  <c r="AI1249" i="1" s="1"/>
  <c r="AJ1248" i="1" l="1"/>
  <c r="AK1248" i="1" s="1"/>
  <c r="AG1251" i="1"/>
  <c r="AH1250" i="1"/>
  <c r="AI1250" i="1" s="1"/>
  <c r="AJ1249" i="1" l="1"/>
  <c r="AK1249" i="1" s="1"/>
  <c r="AG1252" i="1"/>
  <c r="AH1251" i="1"/>
  <c r="AI1251" i="1" s="1"/>
  <c r="AJ1250" i="1" l="1"/>
  <c r="AK1250" i="1" s="1"/>
  <c r="AH1252" i="1"/>
  <c r="AI1252" i="1" s="1"/>
  <c r="AG1253" i="1"/>
  <c r="AH1253" i="1" s="1"/>
  <c r="AI1253" i="1" s="1"/>
  <c r="AJ1252" i="1" s="1"/>
  <c r="AK1252" i="1" s="1"/>
  <c r="AJ1253" i="1" l="1"/>
  <c r="AK1253" i="1" s="1"/>
  <c r="AJ1251" i="1"/>
  <c r="AK1251" i="1" s="1"/>
</calcChain>
</file>

<file path=xl/sharedStrings.xml><?xml version="1.0" encoding="utf-8"?>
<sst xmlns="http://schemas.openxmlformats.org/spreadsheetml/2006/main" count="101" uniqueCount="39">
  <si>
    <t>A</t>
  </si>
  <si>
    <t>C</t>
  </si>
  <si>
    <t>D</t>
  </si>
  <si>
    <t>E</t>
  </si>
  <si>
    <t>F</t>
  </si>
  <si>
    <t>G</t>
  </si>
  <si>
    <t>H</t>
  </si>
  <si>
    <t>I</t>
  </si>
  <si>
    <t>K</t>
  </si>
  <si>
    <t>L</t>
  </si>
  <si>
    <t>M</t>
  </si>
  <si>
    <t>N</t>
  </si>
  <si>
    <t>P</t>
  </si>
  <si>
    <t>Q</t>
  </si>
  <si>
    <t>R</t>
  </si>
  <si>
    <t>S</t>
  </si>
  <si>
    <t>T</t>
  </si>
  <si>
    <t>V</t>
  </si>
  <si>
    <t>W</t>
  </si>
  <si>
    <t>Y</t>
  </si>
  <si>
    <t>2F</t>
  </si>
  <si>
    <t>2R</t>
  </si>
  <si>
    <t>RF</t>
  </si>
  <si>
    <t>Fx</t>
  </si>
  <si>
    <t>Rg</t>
  </si>
  <si>
    <t>Length</t>
  </si>
  <si>
    <t>2Rg</t>
  </si>
  <si>
    <t>RgFx</t>
  </si>
  <si>
    <t>2Fx</t>
  </si>
  <si>
    <t>aa</t>
  </si>
  <si>
    <t>AminoAcid</t>
  </si>
  <si>
    <t>INPUT SEQUENCE</t>
  </si>
  <si>
    <t>Position</t>
  </si>
  <si>
    <t>Res</t>
  </si>
  <si>
    <t>Neighbors</t>
  </si>
  <si>
    <t>INPUT PDB</t>
  </si>
  <si>
    <t>INPUT AF code</t>
  </si>
  <si>
    <t>nB-factor</t>
  </si>
  <si>
    <t>MRKLLYELLEDDRSFVFYIYNTFSFSVILISVILTLYDEFYGFHSKLHPVVLEIEWVASGIIAFELIGRYILAENKLKYLTNSLTILDFIALIPTFQIFRAVRLIVLIARVLRLTYRYRFFFGFFANIIKEFAFELIFVFALILVVIFSILLIVFSVEHGGGNEKINTFFDALYYVIITATTVGYGDITPTTPLGKALAMVLGVLGLFLFSLITATVSTAFFHYVNMLKMGMVSFRELKNHIVVCGWNETGEVMLEEIMKYWEEKGERKKPIVVVTDQELETRHEFYYKKGDYVSEEVLKNAGVEHADMIIILAEKGVDLTEDSIDARTILSSMLARDLNPKATIIAEILLRENAKTVKRKNIIDYIIVDGEVVGQMISNFLKRKDIPQILDYFLDKVDYLEIKPKEEKTIREIIQEFGKKGKLLGIKRGRDFIFLPDLDMEVTPEDTLILVK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</si>
</sst>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C00000"/>
      <name val="Calibri (Cuerpo)"/>
    </font>
    <font>
      <b/>
      <sz val="11"/>
      <color rgb="FFC00000"/>
      <name val="Calibri"/>
      <family val="2"/>
      <scheme val="minor"/>
    </font>
    <font>
      <sz val="10"/>
      <color rgb="FF00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theme="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4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1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0" fillId="0" borderId="0" xfId="0" applyAlignment="1">
      <alignment horizontal="center"/>
    </xf>
    <xf numFmtId="0" fontId="6" fillId="5" borderId="10" xfId="2" applyBorder="1" applyAlignment="1">
      <alignment horizontal="center"/>
    </xf>
    <xf numFmtId="0" fontId="5" fillId="4" borderId="8" xfId="1" applyBorder="1" applyAlignment="1">
      <alignment horizontal="center"/>
    </xf>
    <xf numFmtId="0" fontId="5" fillId="4" borderId="10" xfId="1" applyBorder="1" applyAlignment="1">
      <alignment horizontal="center"/>
    </xf>
    <xf numFmtId="0" fontId="3" fillId="0" borderId="0" xfId="0" applyFont="1" applyAlignment="1">
      <alignment horizontal="center"/>
    </xf>
    <xf numFmtId="0" fontId="0" fillId="3" borderId="14" xfId="0" applyFill="1" applyBorder="1"/>
    <xf numFmtId="0" fontId="0" fillId="2" borderId="15" xfId="0" applyFill="1" applyBorder="1"/>
    <xf numFmtId="0" fontId="3" fillId="0" borderId="11" xfId="0" applyFont="1" applyBorder="1" applyAlignment="1">
      <alignment horizontal="center"/>
    </xf>
    <xf numFmtId="0" fontId="1" fillId="6" borderId="20" xfId="3" applyBorder="1" applyAlignment="1">
      <alignment horizontal="center"/>
    </xf>
    <xf numFmtId="0" fontId="1" fillId="9" borderId="20" xfId="6" applyBorder="1" applyAlignment="1">
      <alignment horizontal="center"/>
    </xf>
    <xf numFmtId="0" fontId="0" fillId="0" borderId="18" xfId="0" applyBorder="1"/>
    <xf numFmtId="0" fontId="6" fillId="5" borderId="9" xfId="2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7" xfId="0" applyBorder="1"/>
    <xf numFmtId="0" fontId="8" fillId="10" borderId="11" xfId="7" applyFont="1" applyBorder="1" applyAlignment="1">
      <alignment horizontal="center"/>
    </xf>
    <xf numFmtId="0" fontId="0" fillId="3" borderId="22" xfId="0" applyFill="1" applyBorder="1"/>
    <xf numFmtId="0" fontId="0" fillId="0" borderId="9" xfId="0" applyBorder="1"/>
    <xf numFmtId="0" fontId="3" fillId="3" borderId="12" xfId="0" applyFont="1" applyFill="1" applyBorder="1" applyAlignment="1">
      <alignment horizontal="center"/>
    </xf>
    <xf numFmtId="0" fontId="0" fillId="3" borderId="12" xfId="0" applyFill="1" applyBorder="1"/>
    <xf numFmtId="0" fontId="0" fillId="3" borderId="12" xfId="0" applyFill="1" applyBorder="1" applyAlignment="1">
      <alignment horizontal="center"/>
    </xf>
    <xf numFmtId="0" fontId="0" fillId="3" borderId="23" xfId="0" applyFill="1" applyBorder="1"/>
    <xf numFmtId="0" fontId="6" fillId="5" borderId="8" xfId="2" applyBorder="1" applyAlignment="1">
      <alignment horizontal="center"/>
    </xf>
    <xf numFmtId="0" fontId="6" fillId="5" borderId="17" xfId="2" applyBorder="1" applyAlignment="1">
      <alignment horizontal="center"/>
    </xf>
    <xf numFmtId="0" fontId="6" fillId="5" borderId="16" xfId="2" applyBorder="1" applyAlignment="1">
      <alignment horizontal="center"/>
    </xf>
    <xf numFmtId="0" fontId="6" fillId="5" borderId="13" xfId="2" applyBorder="1" applyAlignment="1">
      <alignment horizontal="center"/>
    </xf>
    <xf numFmtId="0" fontId="6" fillId="5" borderId="15" xfId="2" applyBorder="1" applyAlignment="1">
      <alignment horizontal="center"/>
    </xf>
    <xf numFmtId="0" fontId="5" fillId="4" borderId="13" xfId="1" applyBorder="1" applyAlignment="1">
      <alignment horizontal="center"/>
    </xf>
    <xf numFmtId="0" fontId="5" fillId="4" borderId="15" xfId="1" applyBorder="1" applyAlignment="1">
      <alignment horizontal="center"/>
    </xf>
    <xf numFmtId="0" fontId="5" fillId="4" borderId="17" xfId="1" applyBorder="1" applyAlignment="1">
      <alignment horizontal="center"/>
    </xf>
    <xf numFmtId="0" fontId="5" fillId="4" borderId="4" xfId="1" applyBorder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0" fillId="3" borderId="8" xfId="0" applyFill="1" applyBorder="1"/>
    <xf numFmtId="0" fontId="0" fillId="3" borderId="10" xfId="0" applyFill="1" applyBorder="1"/>
    <xf numFmtId="0" fontId="0" fillId="12" borderId="12" xfId="0" applyFill="1" applyBorder="1"/>
    <xf numFmtId="0" fontId="3" fillId="0" borderId="6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12" xfId="0" applyBorder="1"/>
    <xf numFmtId="0" fontId="0" fillId="12" borderId="5" xfId="0" applyFill="1" applyBorder="1"/>
    <xf numFmtId="0" fontId="7" fillId="8" borderId="12" xfId="5" applyFont="1" applyBorder="1" applyAlignment="1">
      <alignment horizontal="center"/>
    </xf>
    <xf numFmtId="0" fontId="1" fillId="6" borderId="19" xfId="3" applyBorder="1" applyAlignment="1">
      <alignment horizontal="right"/>
    </xf>
    <xf numFmtId="0" fontId="1" fillId="9" borderId="19" xfId="6" applyBorder="1" applyAlignment="1">
      <alignment horizontal="right"/>
    </xf>
    <xf numFmtId="0" fontId="3" fillId="0" borderId="24" xfId="0" applyFont="1" applyBorder="1" applyAlignment="1">
      <alignment horizontal="center"/>
    </xf>
    <xf numFmtId="0" fontId="9" fillId="13" borderId="9" xfId="4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2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4" xfId="0" applyBorder="1" applyAlignment="1">
      <alignment horizontal="center"/>
    </xf>
    <xf numFmtId="0" fontId="12" fillId="14" borderId="11" xfId="0" applyFont="1" applyFill="1" applyBorder="1"/>
  </cellXfs>
  <cellStyles count="8">
    <cellStyle name="40% - Énfasis2" xfId="4" builtinId="35"/>
    <cellStyle name="Bueno" xfId="1" builtinId="26"/>
    <cellStyle name="Énfasis1" xfId="7" builtinId="29"/>
    <cellStyle name="Énfasis2" xfId="3" builtinId="33"/>
    <cellStyle name="Énfasis3" xfId="5" builtinId="37"/>
    <cellStyle name="Énfasis6" xfId="6" builtinId="49"/>
    <cellStyle name="Incorrecto" xfId="2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Flexibility Profile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6.6650481189851271E-2"/>
          <c:y val="0.11152777777777778"/>
          <c:w val="0.88698972003499565"/>
          <c:h val="0.7773611111111110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FlexiProt!$AH$4:$AH$130</c:f>
              <c:strCache>
                <c:ptCount val="127"/>
                <c:pt idx="0">
                  <c:v>R</c:v>
                </c:pt>
                <c:pt idx="1">
                  <c:v>K</c:v>
                </c:pt>
                <c:pt idx="2">
                  <c:v>L</c:v>
                </c:pt>
                <c:pt idx="3">
                  <c:v>L</c:v>
                </c:pt>
                <c:pt idx="4">
                  <c:v>Y</c:v>
                </c:pt>
                <c:pt idx="5">
                  <c:v>E</c:v>
                </c:pt>
                <c:pt idx="6">
                  <c:v>L</c:v>
                </c:pt>
                <c:pt idx="7">
                  <c:v>L</c:v>
                </c:pt>
                <c:pt idx="8">
                  <c:v>E</c:v>
                </c:pt>
                <c:pt idx="9">
                  <c:v>D</c:v>
                </c:pt>
                <c:pt idx="10">
                  <c:v>D</c:v>
                </c:pt>
                <c:pt idx="11">
                  <c:v>R</c:v>
                </c:pt>
                <c:pt idx="12">
                  <c:v>S</c:v>
                </c:pt>
                <c:pt idx="13">
                  <c:v>F</c:v>
                </c:pt>
                <c:pt idx="14">
                  <c:v>V</c:v>
                </c:pt>
                <c:pt idx="15">
                  <c:v>F</c:v>
                </c:pt>
                <c:pt idx="16">
                  <c:v>Y</c:v>
                </c:pt>
                <c:pt idx="17">
                  <c:v>I</c:v>
                </c:pt>
                <c:pt idx="18">
                  <c:v>Y</c:v>
                </c:pt>
                <c:pt idx="19">
                  <c:v>N</c:v>
                </c:pt>
                <c:pt idx="20">
                  <c:v>T</c:v>
                </c:pt>
                <c:pt idx="21">
                  <c:v>F</c:v>
                </c:pt>
                <c:pt idx="22">
                  <c:v>S</c:v>
                </c:pt>
                <c:pt idx="23">
                  <c:v>F</c:v>
                </c:pt>
                <c:pt idx="24">
                  <c:v>S</c:v>
                </c:pt>
                <c:pt idx="25">
                  <c:v>V</c:v>
                </c:pt>
                <c:pt idx="26">
                  <c:v>I</c:v>
                </c:pt>
                <c:pt idx="27">
                  <c:v>L</c:v>
                </c:pt>
                <c:pt idx="28">
                  <c:v>I</c:v>
                </c:pt>
                <c:pt idx="29">
                  <c:v>S</c:v>
                </c:pt>
                <c:pt idx="30">
                  <c:v>V</c:v>
                </c:pt>
                <c:pt idx="31">
                  <c:v>I</c:v>
                </c:pt>
                <c:pt idx="32">
                  <c:v>L</c:v>
                </c:pt>
                <c:pt idx="33">
                  <c:v>T</c:v>
                </c:pt>
                <c:pt idx="34">
                  <c:v>L</c:v>
                </c:pt>
                <c:pt idx="35">
                  <c:v>Y</c:v>
                </c:pt>
                <c:pt idx="36">
                  <c:v>D</c:v>
                </c:pt>
                <c:pt idx="37">
                  <c:v>E</c:v>
                </c:pt>
                <c:pt idx="38">
                  <c:v>F</c:v>
                </c:pt>
                <c:pt idx="39">
                  <c:v>Y</c:v>
                </c:pt>
                <c:pt idx="40">
                  <c:v>G</c:v>
                </c:pt>
                <c:pt idx="41">
                  <c:v>F</c:v>
                </c:pt>
                <c:pt idx="42">
                  <c:v>H</c:v>
                </c:pt>
                <c:pt idx="43">
                  <c:v>S</c:v>
                </c:pt>
                <c:pt idx="44">
                  <c:v>K</c:v>
                </c:pt>
                <c:pt idx="45">
                  <c:v>L</c:v>
                </c:pt>
                <c:pt idx="46">
                  <c:v>H</c:v>
                </c:pt>
                <c:pt idx="47">
                  <c:v>P</c:v>
                </c:pt>
                <c:pt idx="48">
                  <c:v>V</c:v>
                </c:pt>
                <c:pt idx="49">
                  <c:v>V</c:v>
                </c:pt>
                <c:pt idx="50">
                  <c:v>L</c:v>
                </c:pt>
                <c:pt idx="51">
                  <c:v>E</c:v>
                </c:pt>
                <c:pt idx="52">
                  <c:v>I</c:v>
                </c:pt>
                <c:pt idx="53">
                  <c:v>E</c:v>
                </c:pt>
                <c:pt idx="54">
                  <c:v>W</c:v>
                </c:pt>
                <c:pt idx="55">
                  <c:v>V</c:v>
                </c:pt>
                <c:pt idx="56">
                  <c:v>A</c:v>
                </c:pt>
                <c:pt idx="57">
                  <c:v>S</c:v>
                </c:pt>
                <c:pt idx="58">
                  <c:v>G</c:v>
                </c:pt>
                <c:pt idx="59">
                  <c:v>I</c:v>
                </c:pt>
                <c:pt idx="60">
                  <c:v>I</c:v>
                </c:pt>
                <c:pt idx="61">
                  <c:v>A</c:v>
                </c:pt>
                <c:pt idx="62">
                  <c:v>F</c:v>
                </c:pt>
                <c:pt idx="63">
                  <c:v>E</c:v>
                </c:pt>
                <c:pt idx="64">
                  <c:v>L</c:v>
                </c:pt>
                <c:pt idx="65">
                  <c:v>I</c:v>
                </c:pt>
                <c:pt idx="66">
                  <c:v>G</c:v>
                </c:pt>
                <c:pt idx="67">
                  <c:v>R</c:v>
                </c:pt>
                <c:pt idx="68">
                  <c:v>Y</c:v>
                </c:pt>
                <c:pt idx="69">
                  <c:v>I</c:v>
                </c:pt>
                <c:pt idx="70">
                  <c:v>L</c:v>
                </c:pt>
                <c:pt idx="71">
                  <c:v>A</c:v>
                </c:pt>
                <c:pt idx="72">
                  <c:v>E</c:v>
                </c:pt>
                <c:pt idx="73">
                  <c:v>N</c:v>
                </c:pt>
                <c:pt idx="74">
                  <c:v>K</c:v>
                </c:pt>
                <c:pt idx="75">
                  <c:v>L</c:v>
                </c:pt>
                <c:pt idx="76">
                  <c:v>K</c:v>
                </c:pt>
                <c:pt idx="77">
                  <c:v>Y</c:v>
                </c:pt>
                <c:pt idx="78">
                  <c:v>L</c:v>
                </c:pt>
                <c:pt idx="79">
                  <c:v>T</c:v>
                </c:pt>
                <c:pt idx="80">
                  <c:v>N</c:v>
                </c:pt>
                <c:pt idx="81">
                  <c:v>S</c:v>
                </c:pt>
                <c:pt idx="82">
                  <c:v>L</c:v>
                </c:pt>
                <c:pt idx="83">
                  <c:v>T</c:v>
                </c:pt>
                <c:pt idx="84">
                  <c:v>I</c:v>
                </c:pt>
                <c:pt idx="85">
                  <c:v>L</c:v>
                </c:pt>
                <c:pt idx="86">
                  <c:v>D</c:v>
                </c:pt>
                <c:pt idx="87">
                  <c:v>F</c:v>
                </c:pt>
                <c:pt idx="88">
                  <c:v>I</c:v>
                </c:pt>
                <c:pt idx="89">
                  <c:v>A</c:v>
                </c:pt>
                <c:pt idx="90">
                  <c:v>L</c:v>
                </c:pt>
                <c:pt idx="91">
                  <c:v>I</c:v>
                </c:pt>
                <c:pt idx="92">
                  <c:v>P</c:v>
                </c:pt>
                <c:pt idx="93">
                  <c:v>T</c:v>
                </c:pt>
                <c:pt idx="94">
                  <c:v>F</c:v>
                </c:pt>
                <c:pt idx="95">
                  <c:v>Q</c:v>
                </c:pt>
                <c:pt idx="96">
                  <c:v>I</c:v>
                </c:pt>
                <c:pt idx="97">
                  <c:v>F</c:v>
                </c:pt>
                <c:pt idx="98">
                  <c:v>R</c:v>
                </c:pt>
                <c:pt idx="99">
                  <c:v>A</c:v>
                </c:pt>
                <c:pt idx="100">
                  <c:v>V</c:v>
                </c:pt>
                <c:pt idx="101">
                  <c:v>R</c:v>
                </c:pt>
                <c:pt idx="102">
                  <c:v>L</c:v>
                </c:pt>
                <c:pt idx="103">
                  <c:v>I</c:v>
                </c:pt>
                <c:pt idx="104">
                  <c:v>V</c:v>
                </c:pt>
                <c:pt idx="105">
                  <c:v>L</c:v>
                </c:pt>
                <c:pt idx="106">
                  <c:v>I</c:v>
                </c:pt>
                <c:pt idx="107">
                  <c:v>A</c:v>
                </c:pt>
                <c:pt idx="108">
                  <c:v>R</c:v>
                </c:pt>
                <c:pt idx="109">
                  <c:v>V</c:v>
                </c:pt>
                <c:pt idx="110">
                  <c:v>L</c:v>
                </c:pt>
                <c:pt idx="111">
                  <c:v>R</c:v>
                </c:pt>
                <c:pt idx="112">
                  <c:v>L</c:v>
                </c:pt>
                <c:pt idx="113">
                  <c:v>T</c:v>
                </c:pt>
                <c:pt idx="114">
                  <c:v>Y</c:v>
                </c:pt>
                <c:pt idx="115">
                  <c:v>R</c:v>
                </c:pt>
                <c:pt idx="116">
                  <c:v>Y</c:v>
                </c:pt>
                <c:pt idx="117">
                  <c:v>R</c:v>
                </c:pt>
                <c:pt idx="118">
                  <c:v>F</c:v>
                </c:pt>
                <c:pt idx="119">
                  <c:v>F</c:v>
                </c:pt>
                <c:pt idx="120">
                  <c:v>F</c:v>
                </c:pt>
                <c:pt idx="121">
                  <c:v>G</c:v>
                </c:pt>
                <c:pt idx="122">
                  <c:v>F</c:v>
                </c:pt>
                <c:pt idx="123">
                  <c:v>F</c:v>
                </c:pt>
                <c:pt idx="124">
                  <c:v>A</c:v>
                </c:pt>
                <c:pt idx="125">
                  <c:v>N</c:v>
                </c:pt>
                <c:pt idx="126">
                  <c:v>I</c:v>
                </c:pt>
              </c:strCache>
            </c:strRef>
          </c:cat>
          <c:val>
            <c:numRef>
              <c:f>FlexiProt!$AK$4:$AK$130</c:f>
              <c:numCache>
                <c:formatCode>General</c:formatCode>
                <c:ptCount val="127"/>
                <c:pt idx="0">
                  <c:v>-0.41199999999999998</c:v>
                </c:pt>
                <c:pt idx="1">
                  <c:v>-6.5000000000000002E-2</c:v>
                </c:pt>
                <c:pt idx="2">
                  <c:v>-0.64200000000000002</c:v>
                </c:pt>
                <c:pt idx="3">
                  <c:v>-0.86499999999999999</c:v>
                </c:pt>
                <c:pt idx="4">
                  <c:v>-0.76100000000000001</c:v>
                </c:pt>
                <c:pt idx="5">
                  <c:v>-0.48</c:v>
                </c:pt>
                <c:pt idx="6">
                  <c:v>-0.64200000000000002</c:v>
                </c:pt>
                <c:pt idx="7">
                  <c:v>-0.64200000000000002</c:v>
                </c:pt>
                <c:pt idx="8">
                  <c:v>-0.16800000000000001</c:v>
                </c:pt>
                <c:pt idx="9">
                  <c:v>7.1999999999999995E-2</c:v>
                </c:pt>
                <c:pt idx="10">
                  <c:v>7.1999999999999995E-2</c:v>
                </c:pt>
                <c:pt idx="11">
                  <c:v>-0.314</c:v>
                </c:pt>
                <c:pt idx="12">
                  <c:v>-0.41199999999999998</c:v>
                </c:pt>
                <c:pt idx="13">
                  <c:v>-0.73699999999999999</c:v>
                </c:pt>
                <c:pt idx="14">
                  <c:v>-0.84699999999999998</c:v>
                </c:pt>
                <c:pt idx="15">
                  <c:v>-0.93400000000000005</c:v>
                </c:pt>
                <c:pt idx="16">
                  <c:v>-0.90400000000000003</c:v>
                </c:pt>
                <c:pt idx="17">
                  <c:v>-0.88900000000000001</c:v>
                </c:pt>
                <c:pt idx="18">
                  <c:v>-0.76100000000000001</c:v>
                </c:pt>
                <c:pt idx="19">
                  <c:v>-0.39800000000000002</c:v>
                </c:pt>
                <c:pt idx="20">
                  <c:v>-0.50600000000000001</c:v>
                </c:pt>
                <c:pt idx="21">
                  <c:v>-0.55200000000000005</c:v>
                </c:pt>
                <c:pt idx="22">
                  <c:v>-0.64100000000000001</c:v>
                </c:pt>
                <c:pt idx="23">
                  <c:v>-0.55200000000000005</c:v>
                </c:pt>
                <c:pt idx="24">
                  <c:v>-0.64100000000000001</c:v>
                </c:pt>
                <c:pt idx="25">
                  <c:v>-0.67300000000000004</c:v>
                </c:pt>
                <c:pt idx="26">
                  <c:v>-0.88900000000000001</c:v>
                </c:pt>
                <c:pt idx="27">
                  <c:v>-0.86499999999999999</c:v>
                </c:pt>
                <c:pt idx="28">
                  <c:v>-0.69299999999999995</c:v>
                </c:pt>
                <c:pt idx="29">
                  <c:v>-0.64100000000000001</c:v>
                </c:pt>
                <c:pt idx="30">
                  <c:v>-0.67300000000000004</c:v>
                </c:pt>
                <c:pt idx="31">
                  <c:v>-0.88900000000000001</c:v>
                </c:pt>
                <c:pt idx="32">
                  <c:v>-0.64200000000000002</c:v>
                </c:pt>
                <c:pt idx="33">
                  <c:v>-0.70699999999999996</c:v>
                </c:pt>
                <c:pt idx="34">
                  <c:v>-0.64200000000000002</c:v>
                </c:pt>
                <c:pt idx="35">
                  <c:v>-0.76100000000000001</c:v>
                </c:pt>
                <c:pt idx="36">
                  <c:v>-0.28499999999999998</c:v>
                </c:pt>
                <c:pt idx="37">
                  <c:v>-0.16800000000000001</c:v>
                </c:pt>
                <c:pt idx="38">
                  <c:v>-0.73699999999999999</c:v>
                </c:pt>
                <c:pt idx="39">
                  <c:v>-0.76100000000000001</c:v>
                </c:pt>
                <c:pt idx="40">
                  <c:v>-0.76</c:v>
                </c:pt>
                <c:pt idx="41">
                  <c:v>-0.73699999999999999</c:v>
                </c:pt>
                <c:pt idx="42">
                  <c:v>-0.63400000000000001</c:v>
                </c:pt>
                <c:pt idx="43">
                  <c:v>-0.41199999999999998</c:v>
                </c:pt>
                <c:pt idx="44">
                  <c:v>-6.5000000000000002E-2</c:v>
                </c:pt>
                <c:pt idx="45">
                  <c:v>-0.64200000000000002</c:v>
                </c:pt>
                <c:pt idx="46">
                  <c:v>-0.63400000000000001</c:v>
                </c:pt>
                <c:pt idx="47">
                  <c:v>-0.39600000000000002</c:v>
                </c:pt>
                <c:pt idx="48">
                  <c:v>-0.67300000000000004</c:v>
                </c:pt>
                <c:pt idx="49">
                  <c:v>-0.84699999999999998</c:v>
                </c:pt>
                <c:pt idx="50">
                  <c:v>-0.64200000000000002</c:v>
                </c:pt>
                <c:pt idx="51">
                  <c:v>-0.48</c:v>
                </c:pt>
                <c:pt idx="52">
                  <c:v>-0.53800000000000003</c:v>
                </c:pt>
                <c:pt idx="53">
                  <c:v>-0.48</c:v>
                </c:pt>
                <c:pt idx="54">
                  <c:v>-0.754</c:v>
                </c:pt>
                <c:pt idx="55">
                  <c:v>-0.84699999999999998</c:v>
                </c:pt>
                <c:pt idx="56">
                  <c:v>-0.60899999999999999</c:v>
                </c:pt>
                <c:pt idx="57">
                  <c:v>-0.41199999999999998</c:v>
                </c:pt>
                <c:pt idx="58">
                  <c:v>-0.58799999999999997</c:v>
                </c:pt>
                <c:pt idx="59">
                  <c:v>-0.69299999999999995</c:v>
                </c:pt>
                <c:pt idx="60">
                  <c:v>-0.88900000000000001</c:v>
                </c:pt>
                <c:pt idx="61">
                  <c:v>-0.79200000000000004</c:v>
                </c:pt>
                <c:pt idx="62">
                  <c:v>-0.73699999999999999</c:v>
                </c:pt>
                <c:pt idx="63">
                  <c:v>-0.48</c:v>
                </c:pt>
                <c:pt idx="64">
                  <c:v>-0.64200000000000002</c:v>
                </c:pt>
                <c:pt idx="65">
                  <c:v>-0.69299999999999995</c:v>
                </c:pt>
                <c:pt idx="66">
                  <c:v>-0.58799999999999997</c:v>
                </c:pt>
                <c:pt idx="67">
                  <c:v>-0.41199999999999998</c:v>
                </c:pt>
                <c:pt idx="68">
                  <c:v>-0.76100000000000001</c:v>
                </c:pt>
                <c:pt idx="69">
                  <c:v>-0.88900000000000001</c:v>
                </c:pt>
                <c:pt idx="70">
                  <c:v>-0.86499999999999999</c:v>
                </c:pt>
                <c:pt idx="71">
                  <c:v>-0.60899999999999999</c:v>
                </c:pt>
                <c:pt idx="72">
                  <c:v>-0.16800000000000001</c:v>
                </c:pt>
                <c:pt idx="73">
                  <c:v>-0.185</c:v>
                </c:pt>
                <c:pt idx="74">
                  <c:v>-6.5000000000000002E-2</c:v>
                </c:pt>
                <c:pt idx="75">
                  <c:v>-0.42199999999999999</c:v>
                </c:pt>
                <c:pt idx="76">
                  <c:v>-0.24299999999999999</c:v>
                </c:pt>
                <c:pt idx="77">
                  <c:v>-0.76100000000000001</c:v>
                </c:pt>
                <c:pt idx="78">
                  <c:v>-0.64200000000000002</c:v>
                </c:pt>
                <c:pt idx="79">
                  <c:v>-0.50600000000000001</c:v>
                </c:pt>
                <c:pt idx="80">
                  <c:v>-0.185</c:v>
                </c:pt>
                <c:pt idx="81">
                  <c:v>-0.41199999999999998</c:v>
                </c:pt>
                <c:pt idx="82">
                  <c:v>-0.42199999999999999</c:v>
                </c:pt>
                <c:pt idx="83">
                  <c:v>-0.70699999999999996</c:v>
                </c:pt>
                <c:pt idx="84">
                  <c:v>-0.69299999999999995</c:v>
                </c:pt>
                <c:pt idx="85">
                  <c:v>-0.64200000000000002</c:v>
                </c:pt>
                <c:pt idx="86">
                  <c:v>-0.58399999999999996</c:v>
                </c:pt>
                <c:pt idx="87">
                  <c:v>-0.73699999999999999</c:v>
                </c:pt>
                <c:pt idx="88">
                  <c:v>-0.88900000000000001</c:v>
                </c:pt>
                <c:pt idx="89">
                  <c:v>-0.79200000000000004</c:v>
                </c:pt>
                <c:pt idx="90">
                  <c:v>-0.86499999999999999</c:v>
                </c:pt>
                <c:pt idx="91">
                  <c:v>-0.69299999999999995</c:v>
                </c:pt>
                <c:pt idx="92">
                  <c:v>-0.315</c:v>
                </c:pt>
                <c:pt idx="93">
                  <c:v>-0.50600000000000001</c:v>
                </c:pt>
                <c:pt idx="94">
                  <c:v>-0.55200000000000005</c:v>
                </c:pt>
                <c:pt idx="95">
                  <c:v>-0.56299999999999994</c:v>
                </c:pt>
                <c:pt idx="96">
                  <c:v>-0.69299999999999995</c:v>
                </c:pt>
                <c:pt idx="97">
                  <c:v>-0.73699999999999999</c:v>
                </c:pt>
                <c:pt idx="98">
                  <c:v>-0.63800000000000001</c:v>
                </c:pt>
                <c:pt idx="99">
                  <c:v>-0.60899999999999999</c:v>
                </c:pt>
                <c:pt idx="100">
                  <c:v>-0.67300000000000004</c:v>
                </c:pt>
                <c:pt idx="101">
                  <c:v>-0.63800000000000001</c:v>
                </c:pt>
                <c:pt idx="102">
                  <c:v>-0.64200000000000002</c:v>
                </c:pt>
                <c:pt idx="103">
                  <c:v>-0.88900000000000001</c:v>
                </c:pt>
                <c:pt idx="104">
                  <c:v>-0.84699999999999998</c:v>
                </c:pt>
                <c:pt idx="105">
                  <c:v>-0.86499999999999999</c:v>
                </c:pt>
                <c:pt idx="106">
                  <c:v>-0.88900000000000001</c:v>
                </c:pt>
                <c:pt idx="107">
                  <c:v>-0.60899999999999999</c:v>
                </c:pt>
                <c:pt idx="108">
                  <c:v>-0.63800000000000001</c:v>
                </c:pt>
                <c:pt idx="109">
                  <c:v>-0.67300000000000004</c:v>
                </c:pt>
                <c:pt idx="110">
                  <c:v>-0.64200000000000002</c:v>
                </c:pt>
                <c:pt idx="111">
                  <c:v>-0.63800000000000001</c:v>
                </c:pt>
                <c:pt idx="112">
                  <c:v>-0.42199999999999999</c:v>
                </c:pt>
                <c:pt idx="113">
                  <c:v>-0.70699999999999996</c:v>
                </c:pt>
                <c:pt idx="114">
                  <c:v>-0.503</c:v>
                </c:pt>
                <c:pt idx="115">
                  <c:v>-0.63800000000000001</c:v>
                </c:pt>
                <c:pt idx="116">
                  <c:v>-0.503</c:v>
                </c:pt>
                <c:pt idx="117">
                  <c:v>-0.63800000000000001</c:v>
                </c:pt>
                <c:pt idx="118">
                  <c:v>-0.73699999999999999</c:v>
                </c:pt>
                <c:pt idx="119">
                  <c:v>-0.93400000000000005</c:v>
                </c:pt>
                <c:pt idx="120">
                  <c:v>-0.73699999999999999</c:v>
                </c:pt>
                <c:pt idx="121">
                  <c:v>-0.76</c:v>
                </c:pt>
                <c:pt idx="122">
                  <c:v>-0.73699999999999999</c:v>
                </c:pt>
                <c:pt idx="123">
                  <c:v>-0.93400000000000005</c:v>
                </c:pt>
                <c:pt idx="124">
                  <c:v>-0.60899999999999999</c:v>
                </c:pt>
                <c:pt idx="125">
                  <c:v>-0.57699999999999996</c:v>
                </c:pt>
                <c:pt idx="126">
                  <c:v>-0.69299999999999995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AC-4E79-8458-CEB7E5809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415552"/>
        <c:axId val="81421440"/>
      </c:lineChart>
      <c:catAx>
        <c:axId val="81415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1421440"/>
        <c:crosses val="autoZero"/>
        <c:auto val="1"/>
        <c:lblAlgn val="ctr"/>
        <c:lblOffset val="100"/>
        <c:noMultiLvlLbl val="0"/>
      </c:catAx>
      <c:valAx>
        <c:axId val="8142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141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205100</xdr:colOff>
      <xdr:row>16</xdr:row>
      <xdr:rowOff>50954</xdr:rowOff>
    </xdr:from>
    <xdr:to>
      <xdr:col>31</xdr:col>
      <xdr:colOff>422764</xdr:colOff>
      <xdr:row>29</xdr:row>
      <xdr:rowOff>42740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K1268"/>
  <sheetViews>
    <sheetView tabSelected="1" topLeftCell="Z25" zoomScaleNormal="100" workbookViewId="0">
      <selection activeCell="AE48" sqref="AE48"/>
    </sheetView>
  </sheetViews>
  <sheetFormatPr baseColWidth="10" defaultColWidth="11.42578125" defaultRowHeight="15"/>
  <cols>
    <col min="1" max="1" width="13" customWidth="1"/>
    <col min="2" max="2" width="10.28515625" customWidth="1"/>
    <col min="3" max="3" width="6.42578125" customWidth="1"/>
    <col min="4" max="4" width="10.140625" customWidth="1"/>
    <col min="5" max="5" width="8.85546875" customWidth="1"/>
    <col min="6" max="6" width="8" customWidth="1"/>
    <col min="7" max="8" width="7" customWidth="1"/>
    <col min="9" max="9" width="6.42578125" customWidth="1"/>
    <col min="10" max="10" width="6.140625" customWidth="1"/>
    <col min="11" max="11" width="6.7109375" customWidth="1"/>
    <col min="12" max="12" width="7.42578125" customWidth="1"/>
    <col min="13" max="13" width="7.7109375" customWidth="1"/>
    <col min="14" max="14" width="7.28515625" customWidth="1"/>
    <col min="15" max="15" width="7.85546875" customWidth="1"/>
    <col min="16" max="16" width="6.85546875" customWidth="1"/>
    <col min="17" max="17" width="7.140625" customWidth="1"/>
    <col min="18" max="18" width="6.85546875" customWidth="1"/>
    <col min="19" max="19" width="7.85546875" customWidth="1"/>
    <col min="20" max="20" width="7.28515625" customWidth="1"/>
    <col min="21" max="21" width="6.85546875" customWidth="1"/>
    <col min="22" max="22" width="2" customWidth="1"/>
    <col min="23" max="23" width="6.140625" customWidth="1"/>
    <col min="24" max="24" width="2.7109375" customWidth="1"/>
    <col min="25" max="25" width="13.42578125" customWidth="1"/>
    <col min="26" max="26" width="3.42578125" customWidth="1"/>
    <col min="27" max="28" width="4" customWidth="1"/>
    <col min="29" max="30" width="4.28515625" customWidth="1"/>
    <col min="31" max="31" width="42.85546875" customWidth="1"/>
    <col min="32" max="32" width="12" bestFit="1" customWidth="1"/>
    <col min="34" max="34" width="4" customWidth="1"/>
    <col min="35" max="35" width="3.28515625" bestFit="1" customWidth="1"/>
    <col min="42" max="42" width="12.42578125" customWidth="1"/>
    <col min="43" max="43" width="5" customWidth="1"/>
    <col min="45" max="45" width="13.42578125" customWidth="1"/>
    <col min="46" max="46" width="5.42578125" customWidth="1"/>
    <col min="48" max="48" width="13.140625" customWidth="1"/>
    <col min="49" max="49" width="5" customWidth="1"/>
    <col min="51" max="51" width="12.42578125" customWidth="1"/>
    <col min="52" max="52" width="4.42578125" customWidth="1"/>
    <col min="54" max="54" width="13.42578125" customWidth="1"/>
  </cols>
  <sheetData>
    <row r="1" spans="1:37" ht="15.75" thickBot="1">
      <c r="A1" s="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12"/>
    </row>
    <row r="2" spans="1:37" ht="15.75" thickBot="1">
      <c r="A2" s="44"/>
      <c r="B2" s="45" t="s">
        <v>0</v>
      </c>
      <c r="C2" s="45" t="s">
        <v>1</v>
      </c>
      <c r="D2" s="45" t="s">
        <v>2</v>
      </c>
      <c r="E2" s="45" t="s">
        <v>3</v>
      </c>
      <c r="F2" s="45" t="s">
        <v>4</v>
      </c>
      <c r="G2" s="45" t="s">
        <v>5</v>
      </c>
      <c r="H2" s="45" t="s">
        <v>6</v>
      </c>
      <c r="I2" s="45" t="s">
        <v>7</v>
      </c>
      <c r="J2" s="45" t="s">
        <v>8</v>
      </c>
      <c r="K2" s="45" t="s">
        <v>9</v>
      </c>
      <c r="L2" s="45" t="s">
        <v>10</v>
      </c>
      <c r="M2" s="45" t="s">
        <v>11</v>
      </c>
      <c r="N2" s="45" t="s">
        <v>12</v>
      </c>
      <c r="O2" s="45" t="s">
        <v>13</v>
      </c>
      <c r="P2" s="45" t="s">
        <v>14</v>
      </c>
      <c r="Q2" s="45" t="s">
        <v>15</v>
      </c>
      <c r="R2" s="45" t="s">
        <v>16</v>
      </c>
      <c r="S2" s="45" t="s">
        <v>17</v>
      </c>
      <c r="T2" s="45" t="s">
        <v>18</v>
      </c>
      <c r="U2" s="45" t="s">
        <v>19</v>
      </c>
      <c r="V2" s="40"/>
      <c r="W2" s="40"/>
      <c r="AA2" s="16"/>
      <c r="AB2" s="16"/>
      <c r="AC2" s="16"/>
      <c r="AD2" s="16"/>
      <c r="AG2" s="37" t="s">
        <v>32</v>
      </c>
      <c r="AH2" s="58" t="s">
        <v>33</v>
      </c>
      <c r="AI2" s="57" t="s">
        <v>13</v>
      </c>
      <c r="AJ2" s="56" t="s">
        <v>34</v>
      </c>
      <c r="AK2" s="21" t="s">
        <v>37</v>
      </c>
    </row>
    <row r="3" spans="1:37" ht="15.75" customHeight="1" thickBot="1">
      <c r="A3" s="26">
        <v>1</v>
      </c>
      <c r="B3" s="26">
        <v>2</v>
      </c>
      <c r="C3" s="26">
        <v>3</v>
      </c>
      <c r="D3" s="26">
        <v>4</v>
      </c>
      <c r="E3" s="26">
        <v>5</v>
      </c>
      <c r="F3" s="26">
        <v>6</v>
      </c>
      <c r="G3" s="26">
        <v>7</v>
      </c>
      <c r="H3" s="26">
        <v>8</v>
      </c>
      <c r="I3" s="26">
        <v>9</v>
      </c>
      <c r="J3" s="26">
        <v>10</v>
      </c>
      <c r="K3" s="26">
        <v>11</v>
      </c>
      <c r="L3" s="26">
        <v>12</v>
      </c>
      <c r="M3" s="26">
        <v>13</v>
      </c>
      <c r="N3" s="26">
        <v>14</v>
      </c>
      <c r="O3" s="26">
        <v>15</v>
      </c>
      <c r="P3" s="26">
        <v>16</v>
      </c>
      <c r="Q3" s="26">
        <v>17</v>
      </c>
      <c r="R3" s="26">
        <v>18</v>
      </c>
      <c r="S3" s="26">
        <v>19</v>
      </c>
      <c r="T3" s="26">
        <v>20</v>
      </c>
      <c r="U3" s="26">
        <v>21</v>
      </c>
      <c r="V3" s="38"/>
      <c r="W3" s="39"/>
      <c r="Z3" s="13" t="s">
        <v>29</v>
      </c>
      <c r="AA3" s="46" t="s">
        <v>24</v>
      </c>
      <c r="AB3" s="14"/>
      <c r="AC3" s="47" t="s">
        <v>23</v>
      </c>
      <c r="AD3" s="15"/>
      <c r="AE3" s="55" t="s">
        <v>31</v>
      </c>
      <c r="AF3" s="48" t="s">
        <v>25</v>
      </c>
      <c r="AG3" s="41">
        <v>1</v>
      </c>
      <c r="AH3" t="str">
        <f>IF(AG3&lt;&gt;"",MID($AE$4,AG3,1),"")</f>
        <v>M</v>
      </c>
      <c r="AI3" t="str">
        <f>IFERROR(VLOOKUP(AH3,$AA$4:$AB$13,2,0),VLOOKUP(AH3,$AC$4:$AD$13,2,0))</f>
        <v>Rg</v>
      </c>
      <c r="AK3" s="20"/>
    </row>
    <row r="4" spans="1:37" ht="16.5" customHeight="1" thickBot="1">
      <c r="A4" s="25" t="s">
        <v>26</v>
      </c>
      <c r="B4" s="24">
        <v>-0.79200000000000004</v>
      </c>
      <c r="C4" s="24">
        <v>-0.82299999999999995</v>
      </c>
      <c r="D4" s="24">
        <v>-0.58399999999999996</v>
      </c>
      <c r="E4" s="24">
        <v>-0.48</v>
      </c>
      <c r="F4" s="24">
        <v>-0.93400000000000005</v>
      </c>
      <c r="G4" s="24">
        <v>-0.76</v>
      </c>
      <c r="H4" s="24">
        <v>-0.87</v>
      </c>
      <c r="I4" s="24">
        <v>-0.88900000000000001</v>
      </c>
      <c r="J4" s="24">
        <v>-0.24299999999999999</v>
      </c>
      <c r="K4" s="24">
        <v>-0.86499999999999999</v>
      </c>
      <c r="L4" s="24">
        <v>-0.82599999999999996</v>
      </c>
      <c r="M4" s="24">
        <v>-0.57699999999999996</v>
      </c>
      <c r="N4" s="24">
        <v>-0.39600000000000002</v>
      </c>
      <c r="O4" s="24">
        <v>-0.56299999999999994</v>
      </c>
      <c r="P4" s="24">
        <v>-0.63800000000000001</v>
      </c>
      <c r="Q4" s="24">
        <v>-0.64100000000000001</v>
      </c>
      <c r="R4" s="24">
        <v>-0.70699999999999996</v>
      </c>
      <c r="S4" s="24">
        <v>-0.84699999999999998</v>
      </c>
      <c r="T4" s="24">
        <v>-0.88600000000000001</v>
      </c>
      <c r="U4" s="24">
        <v>-0.90400000000000003</v>
      </c>
      <c r="V4" s="27"/>
      <c r="W4" s="26" t="s">
        <v>21</v>
      </c>
      <c r="Y4" s="19"/>
      <c r="Z4" s="18" t="s">
        <v>0</v>
      </c>
      <c r="AA4" s="29" t="s">
        <v>0</v>
      </c>
      <c r="AB4" s="30" t="s">
        <v>24</v>
      </c>
      <c r="AC4" s="35" t="s">
        <v>2</v>
      </c>
      <c r="AD4" s="36" t="s">
        <v>23</v>
      </c>
      <c r="AE4" s="59" t="s">
        <v>38</v>
      </c>
      <c r="AF4" s="49">
        <f>LEN(AE4)</f>
        <v>455</v>
      </c>
      <c r="AG4" s="41">
        <f>IF(AG3&lt;$AF$4,AG3+1,"")</f>
        <v>2</v>
      </c>
      <c r="AH4" t="str">
        <f t="shared" ref="AH4:AH67" si="0">IF(AG4&lt;&gt;"",MID($AE$4,AG4,1),"")</f>
        <v>R</v>
      </c>
      <c r="AI4" t="str">
        <f t="shared" ref="AI4:AI67" si="1">IFERROR(VLOOKUP(AH4,$AA$4:$AB$13,2,0),VLOOKUP(AH4,$AC$4:$AD$13,2,0))</f>
        <v>Fx</v>
      </c>
      <c r="AJ4" s="6" t="str">
        <f>IF(AND(AI3="Rg",AI5="Rg"),"2Rg",IF(AND(AI3="Rg",AI5="Fx"),"RgFx",IF(AND(AI3="Fx",AI5="Rg"),"RgFx",IF(AND(AI3="Fx",AI5="Fx"),"2Fx",""))))</f>
        <v>RgFx</v>
      </c>
      <c r="AK4" s="19">
        <f>IF(AJ4&lt;&gt;"",VLOOKUP(AJ4,mv,HLOOKUP(AH4,mh,2,0),0),"")</f>
        <v>-0.41199999999999998</v>
      </c>
    </row>
    <row r="5" spans="1:37" ht="15.75" thickBot="1">
      <c r="A5" s="25" t="s">
        <v>27</v>
      </c>
      <c r="B5" s="24">
        <v>-0.60899999999999999</v>
      </c>
      <c r="C5" s="24">
        <v>-0.71799999999999997</v>
      </c>
      <c r="D5" s="24">
        <v>-0.28499999999999998</v>
      </c>
      <c r="E5" s="24">
        <v>-0.16800000000000001</v>
      </c>
      <c r="F5" s="24">
        <v>-0.73699999999999999</v>
      </c>
      <c r="G5" s="24">
        <v>-0.58799999999999997</v>
      </c>
      <c r="H5" s="24">
        <v>-0.63400000000000001</v>
      </c>
      <c r="I5" s="24">
        <v>-0.69299999999999995</v>
      </c>
      <c r="J5" s="24">
        <v>-6.5000000000000002E-2</v>
      </c>
      <c r="K5" s="24">
        <v>-0.64200000000000002</v>
      </c>
      <c r="L5" s="24">
        <v>-0.64600000000000002</v>
      </c>
      <c r="M5" s="24">
        <v>-0.39800000000000002</v>
      </c>
      <c r="N5" s="24">
        <v>-0.315</v>
      </c>
      <c r="O5" s="24">
        <v>-0.36199999999999999</v>
      </c>
      <c r="P5" s="24">
        <v>-0.41199999999999998</v>
      </c>
      <c r="Q5" s="24">
        <v>-0.41199999999999998</v>
      </c>
      <c r="R5" s="24">
        <v>-0.50600000000000001</v>
      </c>
      <c r="S5" s="24">
        <v>-0.67300000000000004</v>
      </c>
      <c r="T5" s="24">
        <v>-0.754</v>
      </c>
      <c r="U5" s="24">
        <v>-0.76100000000000001</v>
      </c>
      <c r="V5" s="11"/>
      <c r="W5" s="26" t="s">
        <v>22</v>
      </c>
      <c r="Y5" s="19"/>
      <c r="Z5" s="19" t="s">
        <v>1</v>
      </c>
      <c r="AA5" s="31" t="s">
        <v>1</v>
      </c>
      <c r="AB5" s="32" t="s">
        <v>24</v>
      </c>
      <c r="AC5" s="8" t="s">
        <v>3</v>
      </c>
      <c r="AD5" s="9" t="s">
        <v>23</v>
      </c>
      <c r="AF5" s="10"/>
      <c r="AG5" s="41">
        <f t="shared" ref="AG5:AG68" si="2">IF(AG4&lt;$AF$4,AG4+1,"")</f>
        <v>3</v>
      </c>
      <c r="AH5" t="str">
        <f t="shared" si="0"/>
        <v>K</v>
      </c>
      <c r="AI5" t="str">
        <f t="shared" si="1"/>
        <v>Fx</v>
      </c>
      <c r="AJ5" s="6" t="str">
        <f t="shared" ref="AJ5:AJ68" si="3">IF(AND(AI4="Rg",AI6="Rg"),"2Rg",IF(AND(AI4="Rg",AI6="Fx"),"RgFx",IF(AND(AI4="Fx",AI6="Rg"),"RgFx",IF(AND(AI4="Fx",AI6="Fx"),"2Fx",""))))</f>
        <v>RgFx</v>
      </c>
      <c r="AK5" s="19">
        <f t="shared" ref="AK5:AK34" si="4">IF(AJ5&lt;&gt;"",VLOOKUP(AJ5,mv,HLOOKUP(AH5,mh,2,0),0),"")</f>
        <v>-6.5000000000000002E-2</v>
      </c>
    </row>
    <row r="6" spans="1:37" ht="15.75" thickBot="1">
      <c r="A6" s="25" t="s">
        <v>28</v>
      </c>
      <c r="B6" s="24">
        <v>-0.38700000000000001</v>
      </c>
      <c r="C6" s="24">
        <v>-0.59299999999999997</v>
      </c>
      <c r="D6" s="24">
        <v>7.1999999999999995E-2</v>
      </c>
      <c r="E6" s="24">
        <v>0.189</v>
      </c>
      <c r="F6" s="24">
        <v>-0.55200000000000005</v>
      </c>
      <c r="G6" s="24">
        <v>-0.24099999999999999</v>
      </c>
      <c r="H6" s="24">
        <v>-0.48499999999999999</v>
      </c>
      <c r="I6" s="24">
        <v>-0.53800000000000003</v>
      </c>
      <c r="J6" s="24">
        <v>0.17599999999999999</v>
      </c>
      <c r="K6" s="24">
        <v>-0.42199999999999999</v>
      </c>
      <c r="L6" s="24">
        <v>-0.48499999999999999</v>
      </c>
      <c r="M6" s="24">
        <v>-0.185</v>
      </c>
      <c r="N6" s="24">
        <v>-0.12</v>
      </c>
      <c r="O6" s="24">
        <v>-0.158</v>
      </c>
      <c r="P6" s="24">
        <v>-0.314</v>
      </c>
      <c r="Q6" s="24">
        <v>-0.23100000000000001</v>
      </c>
      <c r="R6" s="24">
        <v>-0.39</v>
      </c>
      <c r="S6" s="24">
        <v>-0.501</v>
      </c>
      <c r="T6" s="24">
        <v>-0.61399999999999999</v>
      </c>
      <c r="U6" s="24">
        <v>-0.503</v>
      </c>
      <c r="V6" s="22"/>
      <c r="W6" s="26" t="s">
        <v>20</v>
      </c>
      <c r="Y6" s="19"/>
      <c r="Z6" s="19" t="s">
        <v>2</v>
      </c>
      <c r="AA6" s="31" t="s">
        <v>4</v>
      </c>
      <c r="AB6" s="32" t="s">
        <v>24</v>
      </c>
      <c r="AC6" s="8" t="s">
        <v>5</v>
      </c>
      <c r="AD6" s="9" t="s">
        <v>23</v>
      </c>
      <c r="AF6" s="48" t="s">
        <v>30</v>
      </c>
      <c r="AG6" s="41">
        <f t="shared" si="2"/>
        <v>4</v>
      </c>
      <c r="AH6" t="str">
        <f t="shared" si="0"/>
        <v>L</v>
      </c>
      <c r="AI6" t="str">
        <f t="shared" si="1"/>
        <v>Rg</v>
      </c>
      <c r="AJ6" s="6" t="str">
        <f t="shared" si="3"/>
        <v>RgFx</v>
      </c>
      <c r="AK6" s="19">
        <f t="shared" si="4"/>
        <v>-0.64200000000000002</v>
      </c>
    </row>
    <row r="7" spans="1:37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Y7" s="20"/>
      <c r="Z7" s="19" t="s">
        <v>3</v>
      </c>
      <c r="AA7" s="31" t="s">
        <v>6</v>
      </c>
      <c r="AB7" s="32" t="s">
        <v>24</v>
      </c>
      <c r="AC7" s="8" t="s">
        <v>8</v>
      </c>
      <c r="AD7" s="9" t="s">
        <v>23</v>
      </c>
      <c r="AF7" s="50" t="s">
        <v>14</v>
      </c>
      <c r="AG7" s="41">
        <f t="shared" si="2"/>
        <v>5</v>
      </c>
      <c r="AH7" t="str">
        <f t="shared" si="0"/>
        <v>L</v>
      </c>
      <c r="AI7" t="str">
        <f t="shared" si="1"/>
        <v>Rg</v>
      </c>
      <c r="AJ7" s="6" t="str">
        <f t="shared" si="3"/>
        <v>2Rg</v>
      </c>
      <c r="AK7" s="19">
        <f t="shared" si="4"/>
        <v>-0.86499999999999999</v>
      </c>
    </row>
    <row r="8" spans="1:37">
      <c r="Y8" s="20"/>
      <c r="Z8" s="19" t="s">
        <v>4</v>
      </c>
      <c r="AA8" s="31" t="s">
        <v>7</v>
      </c>
      <c r="AB8" s="32" t="s">
        <v>24</v>
      </c>
      <c r="AC8" s="8" t="s">
        <v>11</v>
      </c>
      <c r="AD8" s="9" t="s">
        <v>23</v>
      </c>
      <c r="AF8" s="51" t="str">
        <f>IF(OR(AF7="A",AF7="C",AF7="F",AF7="H",AF7="I",AF7="L",AF7="M",AF7="V",AF7="W",AF7="Y"),VLOOKUP(AF7,AA4:AB13,2,0),VLOOKUP(AF7,AC4:AD13,2,0))</f>
        <v>Fx</v>
      </c>
      <c r="AG8" s="41">
        <f t="shared" si="2"/>
        <v>6</v>
      </c>
      <c r="AH8" t="str">
        <f t="shared" si="0"/>
        <v>Y</v>
      </c>
      <c r="AI8" t="str">
        <f t="shared" si="1"/>
        <v>Rg</v>
      </c>
      <c r="AJ8" s="6" t="str">
        <f t="shared" si="3"/>
        <v>RgFx</v>
      </c>
      <c r="AK8" s="19">
        <f t="shared" si="4"/>
        <v>-0.76100000000000001</v>
      </c>
    </row>
    <row r="9" spans="1:37">
      <c r="Y9" s="20"/>
      <c r="Z9" s="19" t="s">
        <v>5</v>
      </c>
      <c r="AA9" s="31" t="s">
        <v>9</v>
      </c>
      <c r="AB9" s="32" t="s">
        <v>24</v>
      </c>
      <c r="AC9" s="8" t="s">
        <v>12</v>
      </c>
      <c r="AD9" s="9" t="s">
        <v>23</v>
      </c>
      <c r="AF9" s="10"/>
      <c r="AG9" s="41">
        <f t="shared" si="2"/>
        <v>7</v>
      </c>
      <c r="AH9" t="str">
        <f t="shared" si="0"/>
        <v>E</v>
      </c>
      <c r="AI9" t="str">
        <f t="shared" si="1"/>
        <v>Fx</v>
      </c>
      <c r="AJ9" s="6" t="str">
        <f t="shared" si="3"/>
        <v>2Rg</v>
      </c>
      <c r="AK9" s="19">
        <f t="shared" si="4"/>
        <v>-0.48</v>
      </c>
    </row>
    <row r="10" spans="1:37">
      <c r="Y10" s="20"/>
      <c r="Z10" s="19" t="s">
        <v>6</v>
      </c>
      <c r="AA10" s="31" t="s">
        <v>10</v>
      </c>
      <c r="AB10" s="32" t="s">
        <v>24</v>
      </c>
      <c r="AC10" s="33" t="s">
        <v>13</v>
      </c>
      <c r="AD10" s="34" t="s">
        <v>23</v>
      </c>
      <c r="AE10" s="54" t="s">
        <v>35</v>
      </c>
      <c r="AG10" s="41">
        <f t="shared" si="2"/>
        <v>8</v>
      </c>
      <c r="AH10" t="str">
        <f t="shared" si="0"/>
        <v>L</v>
      </c>
      <c r="AI10" t="str">
        <f t="shared" si="1"/>
        <v>Rg</v>
      </c>
      <c r="AJ10" s="6" t="str">
        <f t="shared" si="3"/>
        <v>RgFx</v>
      </c>
      <c r="AK10" s="19">
        <f t="shared" si="4"/>
        <v>-0.64200000000000002</v>
      </c>
    </row>
    <row r="11" spans="1:37">
      <c r="Y11" s="20"/>
      <c r="Z11" s="19" t="s">
        <v>7</v>
      </c>
      <c r="AA11" s="31" t="s">
        <v>17</v>
      </c>
      <c r="AB11" s="32" t="s">
        <v>24</v>
      </c>
      <c r="AC11" s="8" t="s">
        <v>14</v>
      </c>
      <c r="AD11" s="9" t="s">
        <v>23</v>
      </c>
      <c r="AE11" s="43"/>
      <c r="AG11" s="41">
        <f t="shared" si="2"/>
        <v>9</v>
      </c>
      <c r="AH11" t="str">
        <f t="shared" si="0"/>
        <v>L</v>
      </c>
      <c r="AI11" t="str">
        <f t="shared" si="1"/>
        <v>Rg</v>
      </c>
      <c r="AJ11" s="6" t="str">
        <f t="shared" si="3"/>
        <v>RgFx</v>
      </c>
      <c r="AK11" s="19">
        <f t="shared" si="4"/>
        <v>-0.64200000000000002</v>
      </c>
    </row>
    <row r="12" spans="1:37">
      <c r="Y12" s="20"/>
      <c r="Z12" s="19" t="s">
        <v>8</v>
      </c>
      <c r="AA12" s="28" t="s">
        <v>18</v>
      </c>
      <c r="AB12" s="7" t="s">
        <v>24</v>
      </c>
      <c r="AC12" s="8" t="s">
        <v>15</v>
      </c>
      <c r="AD12" s="9" t="s">
        <v>23</v>
      </c>
      <c r="AE12" s="54"/>
      <c r="AG12" s="41">
        <f t="shared" si="2"/>
        <v>10</v>
      </c>
      <c r="AH12" t="str">
        <f t="shared" si="0"/>
        <v>E</v>
      </c>
      <c r="AI12" t="str">
        <f t="shared" si="1"/>
        <v>Fx</v>
      </c>
      <c r="AJ12" s="6" t="str">
        <f t="shared" si="3"/>
        <v>RgFx</v>
      </c>
      <c r="AK12" s="19">
        <f t="shared" si="4"/>
        <v>-0.16800000000000001</v>
      </c>
    </row>
    <row r="13" spans="1:37">
      <c r="Y13" s="20"/>
      <c r="Z13" s="19" t="s">
        <v>9</v>
      </c>
      <c r="AA13" s="17" t="s">
        <v>19</v>
      </c>
      <c r="AB13" s="7" t="s">
        <v>24</v>
      </c>
      <c r="AC13" s="8" t="s">
        <v>16</v>
      </c>
      <c r="AD13" s="9" t="s">
        <v>23</v>
      </c>
      <c r="AE13" s="54" t="s">
        <v>36</v>
      </c>
      <c r="AG13" s="41">
        <f t="shared" si="2"/>
        <v>11</v>
      </c>
      <c r="AH13" t="str">
        <f t="shared" si="0"/>
        <v>D</v>
      </c>
      <c r="AI13" t="str">
        <f t="shared" si="1"/>
        <v>Fx</v>
      </c>
      <c r="AJ13" s="6" t="str">
        <f t="shared" si="3"/>
        <v>2Fx</v>
      </c>
      <c r="AK13" s="19">
        <f t="shared" si="4"/>
        <v>7.1999999999999995E-2</v>
      </c>
    </row>
    <row r="14" spans="1:37">
      <c r="Y14" s="20"/>
      <c r="Z14" s="19" t="s">
        <v>10</v>
      </c>
      <c r="AE14" s="43"/>
      <c r="AG14" s="41">
        <f t="shared" si="2"/>
        <v>12</v>
      </c>
      <c r="AH14" t="str">
        <f t="shared" si="0"/>
        <v>D</v>
      </c>
      <c r="AI14" t="str">
        <f t="shared" si="1"/>
        <v>Fx</v>
      </c>
      <c r="AJ14" s="6" t="str">
        <f t="shared" si="3"/>
        <v>2Fx</v>
      </c>
      <c r="AK14" s="19">
        <f t="shared" si="4"/>
        <v>7.1999999999999995E-2</v>
      </c>
    </row>
    <row r="15" spans="1:37">
      <c r="G15" s="1"/>
      <c r="H15" s="1"/>
      <c r="Y15" s="20"/>
      <c r="Z15" s="19" t="s">
        <v>11</v>
      </c>
      <c r="AG15" s="41">
        <f t="shared" si="2"/>
        <v>13</v>
      </c>
      <c r="AH15" t="str">
        <f t="shared" si="0"/>
        <v>R</v>
      </c>
      <c r="AI15" t="str">
        <f t="shared" si="1"/>
        <v>Fx</v>
      </c>
      <c r="AJ15" s="6" t="str">
        <f t="shared" si="3"/>
        <v>2Fx</v>
      </c>
      <c r="AK15" s="19">
        <f t="shared" si="4"/>
        <v>-0.314</v>
      </c>
    </row>
    <row r="16" spans="1:37">
      <c r="G16" s="1"/>
      <c r="H16" s="1"/>
      <c r="Y16" s="20"/>
      <c r="Z16" s="19" t="s">
        <v>12</v>
      </c>
      <c r="AG16" s="41">
        <f t="shared" si="2"/>
        <v>14</v>
      </c>
      <c r="AH16" t="str">
        <f t="shared" si="0"/>
        <v>S</v>
      </c>
      <c r="AI16" t="str">
        <f t="shared" si="1"/>
        <v>Fx</v>
      </c>
      <c r="AJ16" s="6" t="str">
        <f t="shared" si="3"/>
        <v>RgFx</v>
      </c>
      <c r="AK16" s="19">
        <f t="shared" si="4"/>
        <v>-0.41199999999999998</v>
      </c>
    </row>
    <row r="17" spans="5:37">
      <c r="G17" s="1"/>
      <c r="H17" s="1"/>
      <c r="Y17" s="20"/>
      <c r="Z17" s="19" t="s">
        <v>13</v>
      </c>
      <c r="AG17" s="41">
        <f t="shared" si="2"/>
        <v>15</v>
      </c>
      <c r="AH17" t="str">
        <f t="shared" si="0"/>
        <v>F</v>
      </c>
      <c r="AI17" t="str">
        <f t="shared" si="1"/>
        <v>Rg</v>
      </c>
      <c r="AJ17" s="6" t="str">
        <f t="shared" si="3"/>
        <v>RgFx</v>
      </c>
      <c r="AK17" s="19">
        <f t="shared" si="4"/>
        <v>-0.73699999999999999</v>
      </c>
    </row>
    <row r="18" spans="5:37">
      <c r="Y18" s="20"/>
      <c r="Z18" s="19" t="s">
        <v>14</v>
      </c>
      <c r="AG18" s="41">
        <f t="shared" si="2"/>
        <v>16</v>
      </c>
      <c r="AH18" t="str">
        <f t="shared" si="0"/>
        <v>V</v>
      </c>
      <c r="AI18" t="str">
        <f t="shared" si="1"/>
        <v>Rg</v>
      </c>
      <c r="AJ18" s="6" t="str">
        <f t="shared" si="3"/>
        <v>2Rg</v>
      </c>
      <c r="AK18" s="19">
        <f t="shared" si="4"/>
        <v>-0.84699999999999998</v>
      </c>
    </row>
    <row r="19" spans="5:37">
      <c r="E19" s="2"/>
      <c r="Y19" s="20"/>
      <c r="Z19" s="19" t="s">
        <v>15</v>
      </c>
      <c r="AG19" s="41">
        <f t="shared" si="2"/>
        <v>17</v>
      </c>
      <c r="AH19" t="str">
        <f t="shared" si="0"/>
        <v>F</v>
      </c>
      <c r="AI19" t="str">
        <f t="shared" si="1"/>
        <v>Rg</v>
      </c>
      <c r="AJ19" s="6" t="str">
        <f t="shared" si="3"/>
        <v>2Rg</v>
      </c>
      <c r="AK19" s="19">
        <f t="shared" si="4"/>
        <v>-0.93400000000000005</v>
      </c>
    </row>
    <row r="20" spans="5:37">
      <c r="W20" s="6"/>
      <c r="Y20" s="20"/>
      <c r="Z20" s="19" t="s">
        <v>16</v>
      </c>
      <c r="AG20" s="41">
        <f>IF(AG19&lt;$AF$4,AG19+1,"")</f>
        <v>18</v>
      </c>
      <c r="AH20" t="str">
        <f t="shared" si="0"/>
        <v>Y</v>
      </c>
      <c r="AI20" t="str">
        <f t="shared" si="1"/>
        <v>Rg</v>
      </c>
      <c r="AJ20" s="6" t="str">
        <f t="shared" si="3"/>
        <v>2Rg</v>
      </c>
      <c r="AK20" s="19">
        <f t="shared" si="4"/>
        <v>-0.90400000000000003</v>
      </c>
    </row>
    <row r="21" spans="5:37">
      <c r="W21" s="6"/>
      <c r="Y21" s="20"/>
      <c r="Z21" s="19" t="s">
        <v>17</v>
      </c>
      <c r="AG21" s="41">
        <f t="shared" si="2"/>
        <v>19</v>
      </c>
      <c r="AH21" t="str">
        <f t="shared" si="0"/>
        <v>I</v>
      </c>
      <c r="AI21" t="str">
        <f t="shared" si="1"/>
        <v>Rg</v>
      </c>
      <c r="AJ21" s="6" t="str">
        <f t="shared" si="3"/>
        <v>2Rg</v>
      </c>
      <c r="AK21" s="19">
        <f t="shared" si="4"/>
        <v>-0.88900000000000001</v>
      </c>
    </row>
    <row r="22" spans="5:37">
      <c r="Y22" s="20"/>
      <c r="Z22" s="19" t="s">
        <v>18</v>
      </c>
      <c r="AG22" s="41">
        <f>IF(AG21&lt;$AF$4,AG21+1,"")</f>
        <v>20</v>
      </c>
      <c r="AH22" t="str">
        <f t="shared" si="0"/>
        <v>Y</v>
      </c>
      <c r="AI22" t="str">
        <f t="shared" si="1"/>
        <v>Rg</v>
      </c>
      <c r="AJ22" s="6" t="str">
        <f t="shared" si="3"/>
        <v>RgFx</v>
      </c>
      <c r="AK22" s="19">
        <f t="shared" si="4"/>
        <v>-0.76100000000000001</v>
      </c>
    </row>
    <row r="23" spans="5:37">
      <c r="Y23" s="20"/>
      <c r="Z23" s="19" t="s">
        <v>19</v>
      </c>
      <c r="AG23" s="41">
        <f t="shared" si="2"/>
        <v>21</v>
      </c>
      <c r="AH23" t="str">
        <f t="shared" si="0"/>
        <v>N</v>
      </c>
      <c r="AI23" t="str">
        <f t="shared" si="1"/>
        <v>Fx</v>
      </c>
      <c r="AJ23" s="6" t="str">
        <f t="shared" si="3"/>
        <v>RgFx</v>
      </c>
      <c r="AK23" s="19">
        <f t="shared" si="4"/>
        <v>-0.39800000000000002</v>
      </c>
    </row>
    <row r="24" spans="5:37">
      <c r="Z24" s="5"/>
      <c r="AG24" s="41">
        <f t="shared" si="2"/>
        <v>22</v>
      </c>
      <c r="AH24" t="str">
        <f t="shared" si="0"/>
        <v>T</v>
      </c>
      <c r="AI24" t="str">
        <f t="shared" si="1"/>
        <v>Fx</v>
      </c>
      <c r="AJ24" s="6" t="str">
        <f t="shared" si="3"/>
        <v>RgFx</v>
      </c>
      <c r="AK24" s="19">
        <f t="shared" si="4"/>
        <v>-0.50600000000000001</v>
      </c>
    </row>
    <row r="25" spans="5:37">
      <c r="AG25" s="41">
        <f t="shared" si="2"/>
        <v>23</v>
      </c>
      <c r="AH25" t="str">
        <f t="shared" si="0"/>
        <v>F</v>
      </c>
      <c r="AI25" t="str">
        <f t="shared" si="1"/>
        <v>Rg</v>
      </c>
      <c r="AJ25" s="6" t="str">
        <f t="shared" si="3"/>
        <v>2Fx</v>
      </c>
      <c r="AK25" s="19">
        <f t="shared" si="4"/>
        <v>-0.55200000000000005</v>
      </c>
    </row>
    <row r="26" spans="5:37">
      <c r="AG26" s="41">
        <f t="shared" si="2"/>
        <v>24</v>
      </c>
      <c r="AH26" t="str">
        <f t="shared" si="0"/>
        <v>S</v>
      </c>
      <c r="AI26" t="str">
        <f t="shared" si="1"/>
        <v>Fx</v>
      </c>
      <c r="AJ26" s="6" t="str">
        <f t="shared" si="3"/>
        <v>2Rg</v>
      </c>
      <c r="AK26" s="19">
        <f t="shared" si="4"/>
        <v>-0.64100000000000001</v>
      </c>
    </row>
    <row r="27" spans="5:37">
      <c r="AG27" s="41">
        <f t="shared" si="2"/>
        <v>25</v>
      </c>
      <c r="AH27" t="str">
        <f t="shared" si="0"/>
        <v>F</v>
      </c>
      <c r="AI27" t="str">
        <f t="shared" si="1"/>
        <v>Rg</v>
      </c>
      <c r="AJ27" s="6" t="str">
        <f t="shared" si="3"/>
        <v>2Fx</v>
      </c>
      <c r="AK27" s="19">
        <f t="shared" si="4"/>
        <v>-0.55200000000000005</v>
      </c>
    </row>
    <row r="28" spans="5:37">
      <c r="AG28" s="41">
        <f t="shared" si="2"/>
        <v>26</v>
      </c>
      <c r="AH28" t="str">
        <f t="shared" si="0"/>
        <v>S</v>
      </c>
      <c r="AI28" t="str">
        <f t="shared" si="1"/>
        <v>Fx</v>
      </c>
      <c r="AJ28" s="6" t="str">
        <f t="shared" si="3"/>
        <v>2Rg</v>
      </c>
      <c r="AK28" s="19">
        <f t="shared" si="4"/>
        <v>-0.64100000000000001</v>
      </c>
    </row>
    <row r="29" spans="5:37">
      <c r="AG29" s="41">
        <f t="shared" si="2"/>
        <v>27</v>
      </c>
      <c r="AH29" t="str">
        <f t="shared" si="0"/>
        <v>V</v>
      </c>
      <c r="AI29" t="str">
        <f t="shared" si="1"/>
        <v>Rg</v>
      </c>
      <c r="AJ29" s="6" t="str">
        <f t="shared" si="3"/>
        <v>RgFx</v>
      </c>
      <c r="AK29" s="19">
        <f t="shared" si="4"/>
        <v>-0.67300000000000004</v>
      </c>
    </row>
    <row r="30" spans="5:37">
      <c r="AG30" s="41">
        <f t="shared" si="2"/>
        <v>28</v>
      </c>
      <c r="AH30" t="str">
        <f t="shared" si="0"/>
        <v>I</v>
      </c>
      <c r="AI30" t="str">
        <f t="shared" si="1"/>
        <v>Rg</v>
      </c>
      <c r="AJ30" s="6" t="str">
        <f t="shared" si="3"/>
        <v>2Rg</v>
      </c>
      <c r="AK30" s="19">
        <f t="shared" si="4"/>
        <v>-0.88900000000000001</v>
      </c>
    </row>
    <row r="31" spans="5:37">
      <c r="AG31" s="41">
        <f t="shared" si="2"/>
        <v>29</v>
      </c>
      <c r="AH31" t="str">
        <f t="shared" si="0"/>
        <v>L</v>
      </c>
      <c r="AI31" t="str">
        <f t="shared" si="1"/>
        <v>Rg</v>
      </c>
      <c r="AJ31" s="6" t="str">
        <f t="shared" si="3"/>
        <v>2Rg</v>
      </c>
      <c r="AK31" s="19">
        <f t="shared" si="4"/>
        <v>-0.86499999999999999</v>
      </c>
    </row>
    <row r="32" spans="5:37">
      <c r="AG32" s="41">
        <f t="shared" si="2"/>
        <v>30</v>
      </c>
      <c r="AH32" t="str">
        <f t="shared" si="0"/>
        <v>I</v>
      </c>
      <c r="AI32" t="str">
        <f t="shared" si="1"/>
        <v>Rg</v>
      </c>
      <c r="AJ32" s="6" t="str">
        <f t="shared" si="3"/>
        <v>RgFx</v>
      </c>
      <c r="AK32" s="19">
        <f t="shared" si="4"/>
        <v>-0.69299999999999995</v>
      </c>
    </row>
    <row r="33" spans="33:37">
      <c r="AG33" s="41">
        <f t="shared" si="2"/>
        <v>31</v>
      </c>
      <c r="AH33" t="str">
        <f t="shared" si="0"/>
        <v>S</v>
      </c>
      <c r="AI33" t="str">
        <f t="shared" si="1"/>
        <v>Fx</v>
      </c>
      <c r="AJ33" s="6" t="str">
        <f t="shared" si="3"/>
        <v>2Rg</v>
      </c>
      <c r="AK33" s="19">
        <f t="shared" si="4"/>
        <v>-0.64100000000000001</v>
      </c>
    </row>
    <row r="34" spans="33:37">
      <c r="AG34" s="41">
        <f t="shared" si="2"/>
        <v>32</v>
      </c>
      <c r="AH34" t="str">
        <f t="shared" si="0"/>
        <v>V</v>
      </c>
      <c r="AI34" t="str">
        <f t="shared" si="1"/>
        <v>Rg</v>
      </c>
      <c r="AJ34" s="6" t="str">
        <f t="shared" si="3"/>
        <v>RgFx</v>
      </c>
      <c r="AK34" s="19">
        <f t="shared" si="4"/>
        <v>-0.67300000000000004</v>
      </c>
    </row>
    <row r="35" spans="33:37">
      <c r="AG35" s="41">
        <f t="shared" si="2"/>
        <v>33</v>
      </c>
      <c r="AH35" t="str">
        <f t="shared" si="0"/>
        <v>I</v>
      </c>
      <c r="AI35" t="str">
        <f t="shared" si="1"/>
        <v>Rg</v>
      </c>
      <c r="AJ35" s="6" t="str">
        <f t="shared" si="3"/>
        <v>2Rg</v>
      </c>
      <c r="AK35" s="19">
        <f t="shared" ref="AK35:AK66" si="5">IF(AJ35&lt;&gt;"",VLOOKUP(AJ35,mv,HLOOKUP(AH35,mh,2,0),0),"")</f>
        <v>-0.88900000000000001</v>
      </c>
    </row>
    <row r="36" spans="33:37">
      <c r="AG36" s="41">
        <f t="shared" si="2"/>
        <v>34</v>
      </c>
      <c r="AH36" t="str">
        <f t="shared" si="0"/>
        <v>L</v>
      </c>
      <c r="AI36" t="str">
        <f t="shared" si="1"/>
        <v>Rg</v>
      </c>
      <c r="AJ36" s="6" t="str">
        <f t="shared" si="3"/>
        <v>RgFx</v>
      </c>
      <c r="AK36" s="19">
        <f t="shared" si="5"/>
        <v>-0.64200000000000002</v>
      </c>
    </row>
    <row r="37" spans="33:37">
      <c r="AG37" s="41">
        <f t="shared" si="2"/>
        <v>35</v>
      </c>
      <c r="AH37" t="str">
        <f t="shared" si="0"/>
        <v>T</v>
      </c>
      <c r="AI37" t="str">
        <f t="shared" si="1"/>
        <v>Fx</v>
      </c>
      <c r="AJ37" s="6" t="str">
        <f t="shared" si="3"/>
        <v>2Rg</v>
      </c>
      <c r="AK37" s="19">
        <f t="shared" si="5"/>
        <v>-0.70699999999999996</v>
      </c>
    </row>
    <row r="38" spans="33:37">
      <c r="AG38" s="41">
        <f t="shared" si="2"/>
        <v>36</v>
      </c>
      <c r="AH38" t="str">
        <f t="shared" si="0"/>
        <v>L</v>
      </c>
      <c r="AI38" t="str">
        <f t="shared" si="1"/>
        <v>Rg</v>
      </c>
      <c r="AJ38" s="6" t="str">
        <f t="shared" si="3"/>
        <v>RgFx</v>
      </c>
      <c r="AK38" s="19">
        <f t="shared" si="5"/>
        <v>-0.64200000000000002</v>
      </c>
    </row>
    <row r="39" spans="33:37">
      <c r="AG39" s="41">
        <f t="shared" si="2"/>
        <v>37</v>
      </c>
      <c r="AH39" t="str">
        <f t="shared" si="0"/>
        <v>Y</v>
      </c>
      <c r="AI39" t="str">
        <f t="shared" si="1"/>
        <v>Rg</v>
      </c>
      <c r="AJ39" s="6" t="str">
        <f t="shared" si="3"/>
        <v>RgFx</v>
      </c>
      <c r="AK39" s="19">
        <f t="shared" si="5"/>
        <v>-0.76100000000000001</v>
      </c>
    </row>
    <row r="40" spans="33:37">
      <c r="AG40" s="41">
        <f t="shared" si="2"/>
        <v>38</v>
      </c>
      <c r="AH40" t="str">
        <f t="shared" si="0"/>
        <v>D</v>
      </c>
      <c r="AI40" t="str">
        <f t="shared" si="1"/>
        <v>Fx</v>
      </c>
      <c r="AJ40" s="6" t="str">
        <f t="shared" si="3"/>
        <v>RgFx</v>
      </c>
      <c r="AK40" s="19">
        <f t="shared" si="5"/>
        <v>-0.28499999999999998</v>
      </c>
    </row>
    <row r="41" spans="33:37">
      <c r="AG41" s="41">
        <f t="shared" si="2"/>
        <v>39</v>
      </c>
      <c r="AH41" t="str">
        <f t="shared" si="0"/>
        <v>E</v>
      </c>
      <c r="AI41" t="str">
        <f t="shared" si="1"/>
        <v>Fx</v>
      </c>
      <c r="AJ41" s="6" t="str">
        <f t="shared" si="3"/>
        <v>RgFx</v>
      </c>
      <c r="AK41" s="19">
        <f t="shared" si="5"/>
        <v>-0.16800000000000001</v>
      </c>
    </row>
    <row r="42" spans="33:37">
      <c r="AG42" s="41">
        <f t="shared" si="2"/>
        <v>40</v>
      </c>
      <c r="AH42" t="str">
        <f t="shared" si="0"/>
        <v>F</v>
      </c>
      <c r="AI42" t="str">
        <f t="shared" si="1"/>
        <v>Rg</v>
      </c>
      <c r="AJ42" s="6" t="str">
        <f t="shared" si="3"/>
        <v>RgFx</v>
      </c>
      <c r="AK42" s="19">
        <f t="shared" si="5"/>
        <v>-0.73699999999999999</v>
      </c>
    </row>
    <row r="43" spans="33:37">
      <c r="AG43" s="41">
        <f t="shared" si="2"/>
        <v>41</v>
      </c>
      <c r="AH43" t="str">
        <f t="shared" si="0"/>
        <v>Y</v>
      </c>
      <c r="AI43" t="str">
        <f t="shared" si="1"/>
        <v>Rg</v>
      </c>
      <c r="AJ43" s="6" t="str">
        <f t="shared" si="3"/>
        <v>RgFx</v>
      </c>
      <c r="AK43" s="19">
        <f t="shared" si="5"/>
        <v>-0.76100000000000001</v>
      </c>
    </row>
    <row r="44" spans="33:37">
      <c r="AG44" s="41">
        <f t="shared" si="2"/>
        <v>42</v>
      </c>
      <c r="AH44" t="str">
        <f t="shared" si="0"/>
        <v>G</v>
      </c>
      <c r="AI44" t="str">
        <f t="shared" si="1"/>
        <v>Fx</v>
      </c>
      <c r="AJ44" s="6" t="str">
        <f t="shared" si="3"/>
        <v>2Rg</v>
      </c>
      <c r="AK44" s="19">
        <f t="shared" si="5"/>
        <v>-0.76</v>
      </c>
    </row>
    <row r="45" spans="33:37">
      <c r="AG45" s="41">
        <f t="shared" si="2"/>
        <v>43</v>
      </c>
      <c r="AH45" t="str">
        <f t="shared" si="0"/>
        <v>F</v>
      </c>
      <c r="AI45" t="str">
        <f t="shared" si="1"/>
        <v>Rg</v>
      </c>
      <c r="AJ45" s="6" t="str">
        <f t="shared" si="3"/>
        <v>RgFx</v>
      </c>
      <c r="AK45" s="19">
        <f t="shared" si="5"/>
        <v>-0.73699999999999999</v>
      </c>
    </row>
    <row r="46" spans="33:37">
      <c r="AG46" s="41">
        <f t="shared" si="2"/>
        <v>44</v>
      </c>
      <c r="AH46" t="str">
        <f t="shared" si="0"/>
        <v>H</v>
      </c>
      <c r="AI46" t="str">
        <f t="shared" si="1"/>
        <v>Rg</v>
      </c>
      <c r="AJ46" s="6" t="str">
        <f t="shared" si="3"/>
        <v>RgFx</v>
      </c>
      <c r="AK46" s="19">
        <f t="shared" si="5"/>
        <v>-0.63400000000000001</v>
      </c>
    </row>
    <row r="47" spans="33:37">
      <c r="AG47" s="41">
        <f t="shared" si="2"/>
        <v>45</v>
      </c>
      <c r="AH47" t="str">
        <f t="shared" si="0"/>
        <v>S</v>
      </c>
      <c r="AI47" t="str">
        <f t="shared" si="1"/>
        <v>Fx</v>
      </c>
      <c r="AJ47" s="6" t="str">
        <f t="shared" si="3"/>
        <v>RgFx</v>
      </c>
      <c r="AK47" s="19">
        <f t="shared" si="5"/>
        <v>-0.41199999999999998</v>
      </c>
    </row>
    <row r="48" spans="33:37">
      <c r="AG48" s="41">
        <f t="shared" si="2"/>
        <v>46</v>
      </c>
      <c r="AH48" t="str">
        <f t="shared" si="0"/>
        <v>K</v>
      </c>
      <c r="AI48" t="str">
        <f t="shared" si="1"/>
        <v>Fx</v>
      </c>
      <c r="AJ48" s="6" t="str">
        <f t="shared" si="3"/>
        <v>RgFx</v>
      </c>
      <c r="AK48" s="19">
        <f t="shared" si="5"/>
        <v>-6.5000000000000002E-2</v>
      </c>
    </row>
    <row r="49" spans="33:37">
      <c r="AG49" s="41">
        <f t="shared" si="2"/>
        <v>47</v>
      </c>
      <c r="AH49" t="str">
        <f t="shared" si="0"/>
        <v>L</v>
      </c>
      <c r="AI49" t="str">
        <f t="shared" si="1"/>
        <v>Rg</v>
      </c>
      <c r="AJ49" s="6" t="str">
        <f t="shared" si="3"/>
        <v>RgFx</v>
      </c>
      <c r="AK49" s="19">
        <f t="shared" si="5"/>
        <v>-0.64200000000000002</v>
      </c>
    </row>
    <row r="50" spans="33:37">
      <c r="AG50" s="41">
        <f t="shared" si="2"/>
        <v>48</v>
      </c>
      <c r="AH50" t="str">
        <f t="shared" si="0"/>
        <v>H</v>
      </c>
      <c r="AI50" t="str">
        <f t="shared" si="1"/>
        <v>Rg</v>
      </c>
      <c r="AJ50" s="6" t="str">
        <f t="shared" si="3"/>
        <v>RgFx</v>
      </c>
      <c r="AK50" s="19">
        <f t="shared" si="5"/>
        <v>-0.63400000000000001</v>
      </c>
    </row>
    <row r="51" spans="33:37">
      <c r="AG51" s="41">
        <f t="shared" si="2"/>
        <v>49</v>
      </c>
      <c r="AH51" t="str">
        <f t="shared" si="0"/>
        <v>P</v>
      </c>
      <c r="AI51" t="str">
        <f t="shared" si="1"/>
        <v>Fx</v>
      </c>
      <c r="AJ51" s="6" t="str">
        <f t="shared" si="3"/>
        <v>2Rg</v>
      </c>
      <c r="AK51" s="19">
        <f t="shared" si="5"/>
        <v>-0.39600000000000002</v>
      </c>
    </row>
    <row r="52" spans="33:37">
      <c r="AG52" s="41">
        <f t="shared" si="2"/>
        <v>50</v>
      </c>
      <c r="AH52" t="str">
        <f t="shared" si="0"/>
        <v>V</v>
      </c>
      <c r="AI52" t="str">
        <f t="shared" si="1"/>
        <v>Rg</v>
      </c>
      <c r="AJ52" s="6" t="str">
        <f t="shared" si="3"/>
        <v>RgFx</v>
      </c>
      <c r="AK52" s="19">
        <f t="shared" si="5"/>
        <v>-0.67300000000000004</v>
      </c>
    </row>
    <row r="53" spans="33:37">
      <c r="AG53" s="41">
        <f t="shared" si="2"/>
        <v>51</v>
      </c>
      <c r="AH53" t="str">
        <f t="shared" si="0"/>
        <v>V</v>
      </c>
      <c r="AI53" t="str">
        <f t="shared" si="1"/>
        <v>Rg</v>
      </c>
      <c r="AJ53" s="6" t="str">
        <f t="shared" si="3"/>
        <v>2Rg</v>
      </c>
      <c r="AK53" s="19">
        <f t="shared" si="5"/>
        <v>-0.84699999999999998</v>
      </c>
    </row>
    <row r="54" spans="33:37">
      <c r="AG54" s="41">
        <f t="shared" si="2"/>
        <v>52</v>
      </c>
      <c r="AH54" t="str">
        <f t="shared" si="0"/>
        <v>L</v>
      </c>
      <c r="AI54" t="str">
        <f t="shared" si="1"/>
        <v>Rg</v>
      </c>
      <c r="AJ54" s="6" t="str">
        <f t="shared" si="3"/>
        <v>RgFx</v>
      </c>
      <c r="AK54" s="19">
        <f t="shared" si="5"/>
        <v>-0.64200000000000002</v>
      </c>
    </row>
    <row r="55" spans="33:37">
      <c r="AG55" s="41">
        <f t="shared" si="2"/>
        <v>53</v>
      </c>
      <c r="AH55" t="str">
        <f t="shared" si="0"/>
        <v>E</v>
      </c>
      <c r="AI55" t="str">
        <f t="shared" si="1"/>
        <v>Fx</v>
      </c>
      <c r="AJ55" s="6" t="str">
        <f t="shared" si="3"/>
        <v>2Rg</v>
      </c>
      <c r="AK55" s="19">
        <f t="shared" si="5"/>
        <v>-0.48</v>
      </c>
    </row>
    <row r="56" spans="33:37">
      <c r="AG56" s="41">
        <f t="shared" si="2"/>
        <v>54</v>
      </c>
      <c r="AH56" t="str">
        <f t="shared" si="0"/>
        <v>I</v>
      </c>
      <c r="AI56" t="str">
        <f t="shared" si="1"/>
        <v>Rg</v>
      </c>
      <c r="AJ56" s="6" t="str">
        <f t="shared" si="3"/>
        <v>2Fx</v>
      </c>
      <c r="AK56" s="19">
        <f t="shared" si="5"/>
        <v>-0.53800000000000003</v>
      </c>
    </row>
    <row r="57" spans="33:37">
      <c r="AG57" s="41">
        <f t="shared" si="2"/>
        <v>55</v>
      </c>
      <c r="AH57" t="str">
        <f t="shared" si="0"/>
        <v>E</v>
      </c>
      <c r="AI57" t="str">
        <f t="shared" si="1"/>
        <v>Fx</v>
      </c>
      <c r="AJ57" s="6" t="str">
        <f t="shared" si="3"/>
        <v>2Rg</v>
      </c>
      <c r="AK57" s="19">
        <f t="shared" si="5"/>
        <v>-0.48</v>
      </c>
    </row>
    <row r="58" spans="33:37">
      <c r="AG58" s="41">
        <f t="shared" si="2"/>
        <v>56</v>
      </c>
      <c r="AH58" t="str">
        <f t="shared" si="0"/>
        <v>W</v>
      </c>
      <c r="AI58" t="str">
        <f t="shared" si="1"/>
        <v>Rg</v>
      </c>
      <c r="AJ58" s="6" t="str">
        <f t="shared" si="3"/>
        <v>RgFx</v>
      </c>
      <c r="AK58" s="19">
        <f t="shared" si="5"/>
        <v>-0.754</v>
      </c>
    </row>
    <row r="59" spans="33:37">
      <c r="AG59" s="41">
        <f t="shared" si="2"/>
        <v>57</v>
      </c>
      <c r="AH59" t="str">
        <f t="shared" si="0"/>
        <v>V</v>
      </c>
      <c r="AI59" t="str">
        <f t="shared" si="1"/>
        <v>Rg</v>
      </c>
      <c r="AJ59" s="6" t="str">
        <f t="shared" si="3"/>
        <v>2Rg</v>
      </c>
      <c r="AK59" s="19">
        <f t="shared" si="5"/>
        <v>-0.84699999999999998</v>
      </c>
    </row>
    <row r="60" spans="33:37">
      <c r="AG60" s="41">
        <f t="shared" si="2"/>
        <v>58</v>
      </c>
      <c r="AH60" t="str">
        <f t="shared" si="0"/>
        <v>A</v>
      </c>
      <c r="AI60" t="str">
        <f t="shared" si="1"/>
        <v>Rg</v>
      </c>
      <c r="AJ60" s="6" t="str">
        <f t="shared" si="3"/>
        <v>RgFx</v>
      </c>
      <c r="AK60" s="19">
        <f t="shared" si="5"/>
        <v>-0.60899999999999999</v>
      </c>
    </row>
    <row r="61" spans="33:37">
      <c r="AG61" s="41">
        <f t="shared" si="2"/>
        <v>59</v>
      </c>
      <c r="AH61" t="str">
        <f t="shared" si="0"/>
        <v>S</v>
      </c>
      <c r="AI61" t="str">
        <f t="shared" si="1"/>
        <v>Fx</v>
      </c>
      <c r="AJ61" s="6" t="str">
        <f t="shared" si="3"/>
        <v>RgFx</v>
      </c>
      <c r="AK61" s="19">
        <f t="shared" si="5"/>
        <v>-0.41199999999999998</v>
      </c>
    </row>
    <row r="62" spans="33:37">
      <c r="AG62" s="41">
        <f t="shared" si="2"/>
        <v>60</v>
      </c>
      <c r="AH62" t="str">
        <f t="shared" si="0"/>
        <v>G</v>
      </c>
      <c r="AI62" t="str">
        <f t="shared" si="1"/>
        <v>Fx</v>
      </c>
      <c r="AJ62" s="6" t="str">
        <f t="shared" si="3"/>
        <v>RgFx</v>
      </c>
      <c r="AK62" s="19">
        <f t="shared" si="5"/>
        <v>-0.58799999999999997</v>
      </c>
    </row>
    <row r="63" spans="33:37">
      <c r="AG63" s="41">
        <f t="shared" si="2"/>
        <v>61</v>
      </c>
      <c r="AH63" t="str">
        <f t="shared" si="0"/>
        <v>I</v>
      </c>
      <c r="AI63" t="str">
        <f t="shared" si="1"/>
        <v>Rg</v>
      </c>
      <c r="AJ63" s="6" t="str">
        <f t="shared" si="3"/>
        <v>RgFx</v>
      </c>
      <c r="AK63" s="19">
        <f t="shared" si="5"/>
        <v>-0.69299999999999995</v>
      </c>
    </row>
    <row r="64" spans="33:37">
      <c r="AG64" s="41">
        <f t="shared" si="2"/>
        <v>62</v>
      </c>
      <c r="AH64" t="str">
        <f t="shared" si="0"/>
        <v>I</v>
      </c>
      <c r="AI64" t="str">
        <f t="shared" si="1"/>
        <v>Rg</v>
      </c>
      <c r="AJ64" s="6" t="str">
        <f t="shared" si="3"/>
        <v>2Rg</v>
      </c>
      <c r="AK64" s="19">
        <f t="shared" si="5"/>
        <v>-0.88900000000000001</v>
      </c>
    </row>
    <row r="65" spans="33:37">
      <c r="AG65" s="41">
        <f t="shared" si="2"/>
        <v>63</v>
      </c>
      <c r="AH65" t="str">
        <f t="shared" si="0"/>
        <v>A</v>
      </c>
      <c r="AI65" t="str">
        <f t="shared" si="1"/>
        <v>Rg</v>
      </c>
      <c r="AJ65" s="6" t="str">
        <f t="shared" si="3"/>
        <v>2Rg</v>
      </c>
      <c r="AK65" s="19">
        <f t="shared" si="5"/>
        <v>-0.79200000000000004</v>
      </c>
    </row>
    <row r="66" spans="33:37">
      <c r="AG66" s="41">
        <f t="shared" si="2"/>
        <v>64</v>
      </c>
      <c r="AH66" t="str">
        <f t="shared" si="0"/>
        <v>F</v>
      </c>
      <c r="AI66" t="str">
        <f t="shared" si="1"/>
        <v>Rg</v>
      </c>
      <c r="AJ66" s="6" t="str">
        <f t="shared" si="3"/>
        <v>RgFx</v>
      </c>
      <c r="AK66" s="19">
        <f t="shared" si="5"/>
        <v>-0.73699999999999999</v>
      </c>
    </row>
    <row r="67" spans="33:37">
      <c r="AG67" s="41">
        <f t="shared" si="2"/>
        <v>65</v>
      </c>
      <c r="AH67" t="str">
        <f t="shared" si="0"/>
        <v>E</v>
      </c>
      <c r="AI67" t="str">
        <f t="shared" si="1"/>
        <v>Fx</v>
      </c>
      <c r="AJ67" s="6" t="str">
        <f t="shared" si="3"/>
        <v>2Rg</v>
      </c>
      <c r="AK67" s="19">
        <f t="shared" ref="AK67:AK98" si="6">IF(AJ67&lt;&gt;"",VLOOKUP(AJ67,mv,HLOOKUP(AH67,mh,2,0),0),"")</f>
        <v>-0.48</v>
      </c>
    </row>
    <row r="68" spans="33:37">
      <c r="AG68" s="41">
        <f t="shared" si="2"/>
        <v>66</v>
      </c>
      <c r="AH68" t="str">
        <f t="shared" ref="AH68:AH131" si="7">IF(AG68&lt;&gt;"",MID($AE$4,AG68,1),"")</f>
        <v>L</v>
      </c>
      <c r="AI68" t="str">
        <f t="shared" ref="AI68:AI131" si="8">IFERROR(VLOOKUP(AH68,$AA$4:$AB$13,2,0),VLOOKUP(AH68,$AC$4:$AD$13,2,0))</f>
        <v>Rg</v>
      </c>
      <c r="AJ68" s="6" t="str">
        <f t="shared" si="3"/>
        <v>RgFx</v>
      </c>
      <c r="AK68" s="19">
        <f t="shared" si="6"/>
        <v>-0.64200000000000002</v>
      </c>
    </row>
    <row r="69" spans="33:37">
      <c r="AG69" s="41">
        <f t="shared" ref="AG69:AG132" si="9">IF(AG68&lt;$AF$4,AG68+1,"")</f>
        <v>67</v>
      </c>
      <c r="AH69" t="str">
        <f t="shared" si="7"/>
        <v>I</v>
      </c>
      <c r="AI69" t="str">
        <f t="shared" si="8"/>
        <v>Rg</v>
      </c>
      <c r="AJ69" s="6" t="str">
        <f t="shared" ref="AJ69:AJ131" si="10">IF(AND(AI68="Rg",AI70="Rg"),"2Rg",IF(AND(AI68="Rg",AI70="Fx"),"RgFx",IF(AND(AI68="Fx",AI70="Rg"),"RgFx",IF(AND(AI68="Fx",AI70="Fx"),"2Fx",""))))</f>
        <v>RgFx</v>
      </c>
      <c r="AK69" s="19">
        <f t="shared" si="6"/>
        <v>-0.69299999999999995</v>
      </c>
    </row>
    <row r="70" spans="33:37">
      <c r="AG70" s="41">
        <f t="shared" si="9"/>
        <v>68</v>
      </c>
      <c r="AH70" t="str">
        <f t="shared" si="7"/>
        <v>G</v>
      </c>
      <c r="AI70" t="str">
        <f t="shared" si="8"/>
        <v>Fx</v>
      </c>
      <c r="AJ70" s="6" t="str">
        <f t="shared" si="10"/>
        <v>RgFx</v>
      </c>
      <c r="AK70" s="19">
        <f t="shared" si="6"/>
        <v>-0.58799999999999997</v>
      </c>
    </row>
    <row r="71" spans="33:37">
      <c r="AG71" s="41">
        <f t="shared" si="9"/>
        <v>69</v>
      </c>
      <c r="AH71" t="str">
        <f t="shared" si="7"/>
        <v>R</v>
      </c>
      <c r="AI71" t="str">
        <f t="shared" si="8"/>
        <v>Fx</v>
      </c>
      <c r="AJ71" s="6" t="str">
        <f t="shared" si="10"/>
        <v>RgFx</v>
      </c>
      <c r="AK71" s="19">
        <f t="shared" si="6"/>
        <v>-0.41199999999999998</v>
      </c>
    </row>
    <row r="72" spans="33:37">
      <c r="AG72" s="41">
        <f t="shared" si="9"/>
        <v>70</v>
      </c>
      <c r="AH72" t="str">
        <f t="shared" si="7"/>
        <v>Y</v>
      </c>
      <c r="AI72" t="str">
        <f t="shared" si="8"/>
        <v>Rg</v>
      </c>
      <c r="AJ72" s="6" t="str">
        <f t="shared" si="10"/>
        <v>RgFx</v>
      </c>
      <c r="AK72" s="19">
        <f t="shared" si="6"/>
        <v>-0.76100000000000001</v>
      </c>
    </row>
    <row r="73" spans="33:37">
      <c r="AG73" s="41">
        <f t="shared" si="9"/>
        <v>71</v>
      </c>
      <c r="AH73" t="str">
        <f t="shared" si="7"/>
        <v>I</v>
      </c>
      <c r="AI73" t="str">
        <f t="shared" si="8"/>
        <v>Rg</v>
      </c>
      <c r="AJ73" s="6" t="str">
        <f t="shared" si="10"/>
        <v>2Rg</v>
      </c>
      <c r="AK73" s="19">
        <f t="shared" si="6"/>
        <v>-0.88900000000000001</v>
      </c>
    </row>
    <row r="74" spans="33:37">
      <c r="AG74" s="41">
        <f t="shared" si="9"/>
        <v>72</v>
      </c>
      <c r="AH74" t="str">
        <f t="shared" si="7"/>
        <v>L</v>
      </c>
      <c r="AI74" t="str">
        <f t="shared" si="8"/>
        <v>Rg</v>
      </c>
      <c r="AJ74" s="6" t="str">
        <f t="shared" si="10"/>
        <v>2Rg</v>
      </c>
      <c r="AK74" s="19">
        <f t="shared" si="6"/>
        <v>-0.86499999999999999</v>
      </c>
    </row>
    <row r="75" spans="33:37">
      <c r="AG75" s="41">
        <f t="shared" si="9"/>
        <v>73</v>
      </c>
      <c r="AH75" t="str">
        <f t="shared" si="7"/>
        <v>A</v>
      </c>
      <c r="AI75" t="str">
        <f t="shared" si="8"/>
        <v>Rg</v>
      </c>
      <c r="AJ75" s="6" t="str">
        <f t="shared" si="10"/>
        <v>RgFx</v>
      </c>
      <c r="AK75" s="19">
        <f t="shared" si="6"/>
        <v>-0.60899999999999999</v>
      </c>
    </row>
    <row r="76" spans="33:37">
      <c r="AG76" s="41">
        <f t="shared" si="9"/>
        <v>74</v>
      </c>
      <c r="AH76" t="str">
        <f t="shared" si="7"/>
        <v>E</v>
      </c>
      <c r="AI76" t="str">
        <f t="shared" si="8"/>
        <v>Fx</v>
      </c>
      <c r="AJ76" s="6" t="str">
        <f t="shared" si="10"/>
        <v>RgFx</v>
      </c>
      <c r="AK76" s="19">
        <f t="shared" si="6"/>
        <v>-0.16800000000000001</v>
      </c>
    </row>
    <row r="77" spans="33:37">
      <c r="AG77" s="41">
        <f t="shared" si="9"/>
        <v>75</v>
      </c>
      <c r="AH77" t="str">
        <f t="shared" si="7"/>
        <v>N</v>
      </c>
      <c r="AI77" t="str">
        <f t="shared" si="8"/>
        <v>Fx</v>
      </c>
      <c r="AJ77" s="6" t="str">
        <f t="shared" si="10"/>
        <v>2Fx</v>
      </c>
      <c r="AK77" s="19">
        <f t="shared" si="6"/>
        <v>-0.185</v>
      </c>
    </row>
    <row r="78" spans="33:37">
      <c r="AG78" s="41">
        <f t="shared" si="9"/>
        <v>76</v>
      </c>
      <c r="AH78" t="str">
        <f t="shared" si="7"/>
        <v>K</v>
      </c>
      <c r="AI78" t="str">
        <f t="shared" si="8"/>
        <v>Fx</v>
      </c>
      <c r="AJ78" s="6" t="str">
        <f t="shared" si="10"/>
        <v>RgFx</v>
      </c>
      <c r="AK78" s="19">
        <f t="shared" si="6"/>
        <v>-6.5000000000000002E-2</v>
      </c>
    </row>
    <row r="79" spans="33:37">
      <c r="AG79" s="41">
        <f t="shared" si="9"/>
        <v>77</v>
      </c>
      <c r="AH79" t="str">
        <f t="shared" si="7"/>
        <v>L</v>
      </c>
      <c r="AI79" t="str">
        <f t="shared" si="8"/>
        <v>Rg</v>
      </c>
      <c r="AJ79" s="6" t="str">
        <f t="shared" si="10"/>
        <v>2Fx</v>
      </c>
      <c r="AK79" s="19">
        <f t="shared" si="6"/>
        <v>-0.42199999999999999</v>
      </c>
    </row>
    <row r="80" spans="33:37">
      <c r="AG80" s="41">
        <f t="shared" si="9"/>
        <v>78</v>
      </c>
      <c r="AH80" t="str">
        <f t="shared" si="7"/>
        <v>K</v>
      </c>
      <c r="AI80" t="str">
        <f t="shared" si="8"/>
        <v>Fx</v>
      </c>
      <c r="AJ80" s="6" t="str">
        <f t="shared" si="10"/>
        <v>2Rg</v>
      </c>
      <c r="AK80" s="19">
        <f t="shared" si="6"/>
        <v>-0.24299999999999999</v>
      </c>
    </row>
    <row r="81" spans="33:37">
      <c r="AG81" s="41">
        <f t="shared" si="9"/>
        <v>79</v>
      </c>
      <c r="AH81" t="str">
        <f t="shared" si="7"/>
        <v>Y</v>
      </c>
      <c r="AI81" t="str">
        <f t="shared" si="8"/>
        <v>Rg</v>
      </c>
      <c r="AJ81" s="6" t="str">
        <f t="shared" si="10"/>
        <v>RgFx</v>
      </c>
      <c r="AK81" s="19">
        <f t="shared" si="6"/>
        <v>-0.76100000000000001</v>
      </c>
    </row>
    <row r="82" spans="33:37">
      <c r="AG82" s="41">
        <f t="shared" si="9"/>
        <v>80</v>
      </c>
      <c r="AH82" t="str">
        <f t="shared" si="7"/>
        <v>L</v>
      </c>
      <c r="AI82" t="str">
        <f t="shared" si="8"/>
        <v>Rg</v>
      </c>
      <c r="AJ82" s="6" t="str">
        <f t="shared" si="10"/>
        <v>RgFx</v>
      </c>
      <c r="AK82" s="19">
        <f t="shared" si="6"/>
        <v>-0.64200000000000002</v>
      </c>
    </row>
    <row r="83" spans="33:37">
      <c r="AG83" s="41">
        <f t="shared" si="9"/>
        <v>81</v>
      </c>
      <c r="AH83" t="str">
        <f t="shared" si="7"/>
        <v>T</v>
      </c>
      <c r="AI83" t="str">
        <f t="shared" si="8"/>
        <v>Fx</v>
      </c>
      <c r="AJ83" s="6" t="str">
        <f t="shared" si="10"/>
        <v>RgFx</v>
      </c>
      <c r="AK83" s="19">
        <f t="shared" si="6"/>
        <v>-0.50600000000000001</v>
      </c>
    </row>
    <row r="84" spans="33:37">
      <c r="AG84" s="41">
        <f t="shared" si="9"/>
        <v>82</v>
      </c>
      <c r="AH84" t="str">
        <f t="shared" si="7"/>
        <v>N</v>
      </c>
      <c r="AI84" t="str">
        <f t="shared" si="8"/>
        <v>Fx</v>
      </c>
      <c r="AJ84" s="6" t="str">
        <f t="shared" si="10"/>
        <v>2Fx</v>
      </c>
      <c r="AK84" s="19">
        <f t="shared" si="6"/>
        <v>-0.185</v>
      </c>
    </row>
    <row r="85" spans="33:37">
      <c r="AG85" s="41">
        <f t="shared" si="9"/>
        <v>83</v>
      </c>
      <c r="AH85" t="str">
        <f t="shared" si="7"/>
        <v>S</v>
      </c>
      <c r="AI85" t="str">
        <f t="shared" si="8"/>
        <v>Fx</v>
      </c>
      <c r="AJ85" s="6" t="str">
        <f t="shared" si="10"/>
        <v>RgFx</v>
      </c>
      <c r="AK85" s="19">
        <f t="shared" si="6"/>
        <v>-0.41199999999999998</v>
      </c>
    </row>
    <row r="86" spans="33:37">
      <c r="AG86" s="41">
        <f t="shared" si="9"/>
        <v>84</v>
      </c>
      <c r="AH86" t="str">
        <f t="shared" si="7"/>
        <v>L</v>
      </c>
      <c r="AI86" t="str">
        <f t="shared" si="8"/>
        <v>Rg</v>
      </c>
      <c r="AJ86" s="6" t="str">
        <f t="shared" si="10"/>
        <v>2Fx</v>
      </c>
      <c r="AK86" s="19">
        <f t="shared" si="6"/>
        <v>-0.42199999999999999</v>
      </c>
    </row>
    <row r="87" spans="33:37">
      <c r="AG87" s="41">
        <f t="shared" si="9"/>
        <v>85</v>
      </c>
      <c r="AH87" t="str">
        <f t="shared" si="7"/>
        <v>T</v>
      </c>
      <c r="AI87" t="str">
        <f t="shared" si="8"/>
        <v>Fx</v>
      </c>
      <c r="AJ87" s="6" t="str">
        <f t="shared" si="10"/>
        <v>2Rg</v>
      </c>
      <c r="AK87" s="19">
        <f t="shared" si="6"/>
        <v>-0.70699999999999996</v>
      </c>
    </row>
    <row r="88" spans="33:37">
      <c r="AG88" s="41">
        <f t="shared" si="9"/>
        <v>86</v>
      </c>
      <c r="AH88" t="str">
        <f t="shared" si="7"/>
        <v>I</v>
      </c>
      <c r="AI88" t="str">
        <f t="shared" si="8"/>
        <v>Rg</v>
      </c>
      <c r="AJ88" s="6" t="str">
        <f t="shared" si="10"/>
        <v>RgFx</v>
      </c>
      <c r="AK88" s="19">
        <f t="shared" si="6"/>
        <v>-0.69299999999999995</v>
      </c>
    </row>
    <row r="89" spans="33:37">
      <c r="AG89" s="41">
        <f t="shared" si="9"/>
        <v>87</v>
      </c>
      <c r="AH89" t="str">
        <f t="shared" si="7"/>
        <v>L</v>
      </c>
      <c r="AI89" t="str">
        <f t="shared" si="8"/>
        <v>Rg</v>
      </c>
      <c r="AJ89" s="6" t="str">
        <f t="shared" si="10"/>
        <v>RgFx</v>
      </c>
      <c r="AK89" s="19">
        <f t="shared" si="6"/>
        <v>-0.64200000000000002</v>
      </c>
    </row>
    <row r="90" spans="33:37">
      <c r="AG90" s="41">
        <f t="shared" si="9"/>
        <v>88</v>
      </c>
      <c r="AH90" t="str">
        <f t="shared" si="7"/>
        <v>D</v>
      </c>
      <c r="AI90" t="str">
        <f t="shared" si="8"/>
        <v>Fx</v>
      </c>
      <c r="AJ90" s="6" t="str">
        <f t="shared" si="10"/>
        <v>2Rg</v>
      </c>
      <c r="AK90" s="19">
        <f t="shared" si="6"/>
        <v>-0.58399999999999996</v>
      </c>
    </row>
    <row r="91" spans="33:37">
      <c r="AG91" s="41">
        <f t="shared" si="9"/>
        <v>89</v>
      </c>
      <c r="AH91" t="str">
        <f t="shared" si="7"/>
        <v>F</v>
      </c>
      <c r="AI91" t="str">
        <f t="shared" si="8"/>
        <v>Rg</v>
      </c>
      <c r="AJ91" s="6" t="str">
        <f t="shared" si="10"/>
        <v>RgFx</v>
      </c>
      <c r="AK91" s="19">
        <f t="shared" si="6"/>
        <v>-0.73699999999999999</v>
      </c>
    </row>
    <row r="92" spans="33:37">
      <c r="AG92" s="41">
        <f t="shared" si="9"/>
        <v>90</v>
      </c>
      <c r="AH92" t="str">
        <f t="shared" si="7"/>
        <v>I</v>
      </c>
      <c r="AI92" t="str">
        <f t="shared" si="8"/>
        <v>Rg</v>
      </c>
      <c r="AJ92" s="6" t="str">
        <f t="shared" si="10"/>
        <v>2Rg</v>
      </c>
      <c r="AK92" s="19">
        <f t="shared" si="6"/>
        <v>-0.88900000000000001</v>
      </c>
    </row>
    <row r="93" spans="33:37">
      <c r="AG93" s="41">
        <f t="shared" si="9"/>
        <v>91</v>
      </c>
      <c r="AH93" t="str">
        <f t="shared" si="7"/>
        <v>A</v>
      </c>
      <c r="AI93" t="str">
        <f t="shared" si="8"/>
        <v>Rg</v>
      </c>
      <c r="AJ93" s="6" t="str">
        <f t="shared" si="10"/>
        <v>2Rg</v>
      </c>
      <c r="AK93" s="19">
        <f t="shared" si="6"/>
        <v>-0.79200000000000004</v>
      </c>
    </row>
    <row r="94" spans="33:37">
      <c r="AG94" s="41">
        <f t="shared" si="9"/>
        <v>92</v>
      </c>
      <c r="AH94" t="str">
        <f t="shared" si="7"/>
        <v>L</v>
      </c>
      <c r="AI94" t="str">
        <f t="shared" si="8"/>
        <v>Rg</v>
      </c>
      <c r="AJ94" s="6" t="str">
        <f t="shared" si="10"/>
        <v>2Rg</v>
      </c>
      <c r="AK94" s="19">
        <f t="shared" si="6"/>
        <v>-0.86499999999999999</v>
      </c>
    </row>
    <row r="95" spans="33:37">
      <c r="AG95" s="41">
        <f t="shared" si="9"/>
        <v>93</v>
      </c>
      <c r="AH95" t="str">
        <f t="shared" si="7"/>
        <v>I</v>
      </c>
      <c r="AI95" t="str">
        <f t="shared" si="8"/>
        <v>Rg</v>
      </c>
      <c r="AJ95" s="6" t="str">
        <f t="shared" si="10"/>
        <v>RgFx</v>
      </c>
      <c r="AK95" s="19">
        <f t="shared" si="6"/>
        <v>-0.69299999999999995</v>
      </c>
    </row>
    <row r="96" spans="33:37">
      <c r="AG96" s="41">
        <f t="shared" si="9"/>
        <v>94</v>
      </c>
      <c r="AH96" t="str">
        <f t="shared" si="7"/>
        <v>P</v>
      </c>
      <c r="AI96" t="str">
        <f t="shared" si="8"/>
        <v>Fx</v>
      </c>
      <c r="AJ96" s="6" t="str">
        <f t="shared" si="10"/>
        <v>RgFx</v>
      </c>
      <c r="AK96" s="19">
        <f t="shared" si="6"/>
        <v>-0.315</v>
      </c>
    </row>
    <row r="97" spans="33:37">
      <c r="AG97" s="41">
        <f t="shared" si="9"/>
        <v>95</v>
      </c>
      <c r="AH97" t="str">
        <f t="shared" si="7"/>
        <v>T</v>
      </c>
      <c r="AI97" t="str">
        <f t="shared" si="8"/>
        <v>Fx</v>
      </c>
      <c r="AJ97" s="6" t="str">
        <f t="shared" si="10"/>
        <v>RgFx</v>
      </c>
      <c r="AK97" s="19">
        <f t="shared" si="6"/>
        <v>-0.50600000000000001</v>
      </c>
    </row>
    <row r="98" spans="33:37">
      <c r="AG98" s="41">
        <f t="shared" si="9"/>
        <v>96</v>
      </c>
      <c r="AH98" t="str">
        <f t="shared" si="7"/>
        <v>F</v>
      </c>
      <c r="AI98" t="str">
        <f t="shared" si="8"/>
        <v>Rg</v>
      </c>
      <c r="AJ98" s="6" t="str">
        <f t="shared" si="10"/>
        <v>2Fx</v>
      </c>
      <c r="AK98" s="19">
        <f t="shared" si="6"/>
        <v>-0.55200000000000005</v>
      </c>
    </row>
    <row r="99" spans="33:37">
      <c r="AG99" s="41">
        <f t="shared" si="9"/>
        <v>97</v>
      </c>
      <c r="AH99" t="str">
        <f t="shared" si="7"/>
        <v>Q</v>
      </c>
      <c r="AI99" t="str">
        <f t="shared" si="8"/>
        <v>Fx</v>
      </c>
      <c r="AJ99" s="6" t="str">
        <f t="shared" si="10"/>
        <v>2Rg</v>
      </c>
      <c r="AK99" s="19">
        <f t="shared" ref="AK99:AK130" si="11">IF(AJ99&lt;&gt;"",VLOOKUP(AJ99,mv,HLOOKUP(AH99,mh,2,0),0),"")</f>
        <v>-0.56299999999999994</v>
      </c>
    </row>
    <row r="100" spans="33:37">
      <c r="AG100" s="41">
        <f t="shared" si="9"/>
        <v>98</v>
      </c>
      <c r="AH100" t="str">
        <f t="shared" si="7"/>
        <v>I</v>
      </c>
      <c r="AI100" t="str">
        <f t="shared" si="8"/>
        <v>Rg</v>
      </c>
      <c r="AJ100" s="6" t="str">
        <f t="shared" si="10"/>
        <v>RgFx</v>
      </c>
      <c r="AK100" s="19">
        <f t="shared" si="11"/>
        <v>-0.69299999999999995</v>
      </c>
    </row>
    <row r="101" spans="33:37">
      <c r="AG101" s="41">
        <f t="shared" si="9"/>
        <v>99</v>
      </c>
      <c r="AH101" t="str">
        <f t="shared" si="7"/>
        <v>F</v>
      </c>
      <c r="AI101" t="str">
        <f t="shared" si="8"/>
        <v>Rg</v>
      </c>
      <c r="AJ101" s="6" t="str">
        <f t="shared" si="10"/>
        <v>RgFx</v>
      </c>
      <c r="AK101" s="19">
        <f t="shared" si="11"/>
        <v>-0.73699999999999999</v>
      </c>
    </row>
    <row r="102" spans="33:37">
      <c r="AG102" s="41">
        <f t="shared" si="9"/>
        <v>100</v>
      </c>
      <c r="AH102" t="str">
        <f t="shared" si="7"/>
        <v>R</v>
      </c>
      <c r="AI102" t="str">
        <f t="shared" si="8"/>
        <v>Fx</v>
      </c>
      <c r="AJ102" s="6" t="str">
        <f t="shared" si="10"/>
        <v>2Rg</v>
      </c>
      <c r="AK102" s="19">
        <f t="shared" si="11"/>
        <v>-0.63800000000000001</v>
      </c>
    </row>
    <row r="103" spans="33:37">
      <c r="AG103" s="41">
        <f t="shared" si="9"/>
        <v>101</v>
      </c>
      <c r="AH103" t="str">
        <f t="shared" si="7"/>
        <v>A</v>
      </c>
      <c r="AI103" t="str">
        <f t="shared" si="8"/>
        <v>Rg</v>
      </c>
      <c r="AJ103" s="6" t="str">
        <f t="shared" si="10"/>
        <v>RgFx</v>
      </c>
      <c r="AK103" s="19">
        <f t="shared" si="11"/>
        <v>-0.60899999999999999</v>
      </c>
    </row>
    <row r="104" spans="33:37">
      <c r="AG104" s="41">
        <f t="shared" si="9"/>
        <v>102</v>
      </c>
      <c r="AH104" t="str">
        <f t="shared" si="7"/>
        <v>V</v>
      </c>
      <c r="AI104" t="str">
        <f t="shared" si="8"/>
        <v>Rg</v>
      </c>
      <c r="AJ104" s="6" t="str">
        <f t="shared" si="10"/>
        <v>RgFx</v>
      </c>
      <c r="AK104" s="19">
        <f t="shared" si="11"/>
        <v>-0.67300000000000004</v>
      </c>
    </row>
    <row r="105" spans="33:37">
      <c r="AG105" s="41">
        <f t="shared" si="9"/>
        <v>103</v>
      </c>
      <c r="AH105" t="str">
        <f t="shared" si="7"/>
        <v>R</v>
      </c>
      <c r="AI105" t="str">
        <f t="shared" si="8"/>
        <v>Fx</v>
      </c>
      <c r="AJ105" s="6" t="str">
        <f t="shared" si="10"/>
        <v>2Rg</v>
      </c>
      <c r="AK105" s="19">
        <f t="shared" si="11"/>
        <v>-0.63800000000000001</v>
      </c>
    </row>
    <row r="106" spans="33:37">
      <c r="AG106" s="41">
        <f t="shared" si="9"/>
        <v>104</v>
      </c>
      <c r="AH106" t="str">
        <f t="shared" si="7"/>
        <v>L</v>
      </c>
      <c r="AI106" t="str">
        <f t="shared" si="8"/>
        <v>Rg</v>
      </c>
      <c r="AJ106" s="6" t="str">
        <f t="shared" si="10"/>
        <v>RgFx</v>
      </c>
      <c r="AK106" s="19">
        <f t="shared" si="11"/>
        <v>-0.64200000000000002</v>
      </c>
    </row>
    <row r="107" spans="33:37">
      <c r="AG107" s="41">
        <f t="shared" si="9"/>
        <v>105</v>
      </c>
      <c r="AH107" t="str">
        <f t="shared" si="7"/>
        <v>I</v>
      </c>
      <c r="AI107" t="str">
        <f t="shared" si="8"/>
        <v>Rg</v>
      </c>
      <c r="AJ107" s="6" t="str">
        <f t="shared" si="10"/>
        <v>2Rg</v>
      </c>
      <c r="AK107" s="19">
        <f t="shared" si="11"/>
        <v>-0.88900000000000001</v>
      </c>
    </row>
    <row r="108" spans="33:37">
      <c r="AG108" s="41">
        <f t="shared" si="9"/>
        <v>106</v>
      </c>
      <c r="AH108" t="str">
        <f t="shared" si="7"/>
        <v>V</v>
      </c>
      <c r="AI108" t="str">
        <f t="shared" si="8"/>
        <v>Rg</v>
      </c>
      <c r="AJ108" s="6" t="str">
        <f t="shared" si="10"/>
        <v>2Rg</v>
      </c>
      <c r="AK108" s="19">
        <f t="shared" si="11"/>
        <v>-0.84699999999999998</v>
      </c>
    </row>
    <row r="109" spans="33:37">
      <c r="AG109" s="41">
        <f t="shared" si="9"/>
        <v>107</v>
      </c>
      <c r="AH109" t="str">
        <f t="shared" si="7"/>
        <v>L</v>
      </c>
      <c r="AI109" t="str">
        <f t="shared" si="8"/>
        <v>Rg</v>
      </c>
      <c r="AJ109" s="6" t="str">
        <f t="shared" si="10"/>
        <v>2Rg</v>
      </c>
      <c r="AK109" s="19">
        <f t="shared" si="11"/>
        <v>-0.86499999999999999</v>
      </c>
    </row>
    <row r="110" spans="33:37">
      <c r="AG110" s="41">
        <f t="shared" si="9"/>
        <v>108</v>
      </c>
      <c r="AH110" t="str">
        <f t="shared" si="7"/>
        <v>I</v>
      </c>
      <c r="AI110" t="str">
        <f t="shared" si="8"/>
        <v>Rg</v>
      </c>
      <c r="AJ110" s="6" t="str">
        <f t="shared" si="10"/>
        <v>2Rg</v>
      </c>
      <c r="AK110" s="19">
        <f t="shared" si="11"/>
        <v>-0.88900000000000001</v>
      </c>
    </row>
    <row r="111" spans="33:37">
      <c r="AG111" s="41">
        <f t="shared" si="9"/>
        <v>109</v>
      </c>
      <c r="AH111" t="str">
        <f t="shared" si="7"/>
        <v>A</v>
      </c>
      <c r="AI111" t="str">
        <f t="shared" si="8"/>
        <v>Rg</v>
      </c>
      <c r="AJ111" s="6" t="str">
        <f t="shared" si="10"/>
        <v>RgFx</v>
      </c>
      <c r="AK111" s="19">
        <f t="shared" si="11"/>
        <v>-0.60899999999999999</v>
      </c>
    </row>
    <row r="112" spans="33:37">
      <c r="AG112" s="41">
        <f t="shared" si="9"/>
        <v>110</v>
      </c>
      <c r="AH112" t="str">
        <f t="shared" si="7"/>
        <v>R</v>
      </c>
      <c r="AI112" t="str">
        <f t="shared" si="8"/>
        <v>Fx</v>
      </c>
      <c r="AJ112" s="6" t="str">
        <f t="shared" si="10"/>
        <v>2Rg</v>
      </c>
      <c r="AK112" s="19">
        <f t="shared" si="11"/>
        <v>-0.63800000000000001</v>
      </c>
    </row>
    <row r="113" spans="33:37">
      <c r="AG113" s="41">
        <f t="shared" si="9"/>
        <v>111</v>
      </c>
      <c r="AH113" t="str">
        <f t="shared" si="7"/>
        <v>V</v>
      </c>
      <c r="AI113" t="str">
        <f t="shared" si="8"/>
        <v>Rg</v>
      </c>
      <c r="AJ113" s="6" t="str">
        <f t="shared" si="10"/>
        <v>RgFx</v>
      </c>
      <c r="AK113" s="19">
        <f t="shared" si="11"/>
        <v>-0.67300000000000004</v>
      </c>
    </row>
    <row r="114" spans="33:37">
      <c r="AG114" s="41">
        <f t="shared" si="9"/>
        <v>112</v>
      </c>
      <c r="AH114" t="str">
        <f t="shared" si="7"/>
        <v>L</v>
      </c>
      <c r="AI114" t="str">
        <f t="shared" si="8"/>
        <v>Rg</v>
      </c>
      <c r="AJ114" s="6" t="str">
        <f t="shared" si="10"/>
        <v>RgFx</v>
      </c>
      <c r="AK114" s="19">
        <f t="shared" si="11"/>
        <v>-0.64200000000000002</v>
      </c>
    </row>
    <row r="115" spans="33:37">
      <c r="AG115" s="41">
        <f t="shared" si="9"/>
        <v>113</v>
      </c>
      <c r="AH115" t="str">
        <f t="shared" si="7"/>
        <v>R</v>
      </c>
      <c r="AI115" t="str">
        <f t="shared" si="8"/>
        <v>Fx</v>
      </c>
      <c r="AJ115" s="6" t="str">
        <f t="shared" si="10"/>
        <v>2Rg</v>
      </c>
      <c r="AK115" s="19">
        <f t="shared" si="11"/>
        <v>-0.63800000000000001</v>
      </c>
    </row>
    <row r="116" spans="33:37">
      <c r="AG116" s="41">
        <f t="shared" si="9"/>
        <v>114</v>
      </c>
      <c r="AH116" t="str">
        <f t="shared" si="7"/>
        <v>L</v>
      </c>
      <c r="AI116" t="str">
        <f t="shared" si="8"/>
        <v>Rg</v>
      </c>
      <c r="AJ116" s="6" t="str">
        <f t="shared" si="10"/>
        <v>2Fx</v>
      </c>
      <c r="AK116" s="19">
        <f t="shared" si="11"/>
        <v>-0.42199999999999999</v>
      </c>
    </row>
    <row r="117" spans="33:37">
      <c r="AG117" s="41">
        <f t="shared" si="9"/>
        <v>115</v>
      </c>
      <c r="AH117" t="str">
        <f t="shared" si="7"/>
        <v>T</v>
      </c>
      <c r="AI117" t="str">
        <f t="shared" si="8"/>
        <v>Fx</v>
      </c>
      <c r="AJ117" s="6" t="str">
        <f t="shared" si="10"/>
        <v>2Rg</v>
      </c>
      <c r="AK117" s="19">
        <f t="shared" si="11"/>
        <v>-0.70699999999999996</v>
      </c>
    </row>
    <row r="118" spans="33:37">
      <c r="AG118" s="41">
        <f t="shared" si="9"/>
        <v>116</v>
      </c>
      <c r="AH118" t="str">
        <f t="shared" si="7"/>
        <v>Y</v>
      </c>
      <c r="AI118" t="str">
        <f t="shared" si="8"/>
        <v>Rg</v>
      </c>
      <c r="AJ118" s="6" t="str">
        <f t="shared" si="10"/>
        <v>2Fx</v>
      </c>
      <c r="AK118" s="19">
        <f t="shared" si="11"/>
        <v>-0.503</v>
      </c>
    </row>
    <row r="119" spans="33:37">
      <c r="AG119" s="41">
        <f t="shared" si="9"/>
        <v>117</v>
      </c>
      <c r="AH119" t="str">
        <f t="shared" si="7"/>
        <v>R</v>
      </c>
      <c r="AI119" t="str">
        <f t="shared" si="8"/>
        <v>Fx</v>
      </c>
      <c r="AJ119" s="6" t="str">
        <f t="shared" si="10"/>
        <v>2Rg</v>
      </c>
      <c r="AK119" s="19">
        <f t="shared" si="11"/>
        <v>-0.63800000000000001</v>
      </c>
    </row>
    <row r="120" spans="33:37">
      <c r="AG120" s="41">
        <f t="shared" si="9"/>
        <v>118</v>
      </c>
      <c r="AH120" t="str">
        <f t="shared" si="7"/>
        <v>Y</v>
      </c>
      <c r="AI120" t="str">
        <f t="shared" si="8"/>
        <v>Rg</v>
      </c>
      <c r="AJ120" s="6" t="str">
        <f t="shared" si="10"/>
        <v>2Fx</v>
      </c>
      <c r="AK120" s="19">
        <f t="shared" si="11"/>
        <v>-0.503</v>
      </c>
    </row>
    <row r="121" spans="33:37">
      <c r="AG121" s="41">
        <f t="shared" si="9"/>
        <v>119</v>
      </c>
      <c r="AH121" t="str">
        <f t="shared" si="7"/>
        <v>R</v>
      </c>
      <c r="AI121" t="str">
        <f t="shared" si="8"/>
        <v>Fx</v>
      </c>
      <c r="AJ121" s="6" t="str">
        <f t="shared" si="10"/>
        <v>2Rg</v>
      </c>
      <c r="AK121" s="19">
        <f t="shared" si="11"/>
        <v>-0.63800000000000001</v>
      </c>
    </row>
    <row r="122" spans="33:37">
      <c r="AG122" s="41">
        <f t="shared" si="9"/>
        <v>120</v>
      </c>
      <c r="AH122" t="str">
        <f t="shared" si="7"/>
        <v>F</v>
      </c>
      <c r="AI122" t="str">
        <f t="shared" si="8"/>
        <v>Rg</v>
      </c>
      <c r="AJ122" s="6" t="str">
        <f t="shared" si="10"/>
        <v>RgFx</v>
      </c>
      <c r="AK122" s="19">
        <f t="shared" si="11"/>
        <v>-0.73699999999999999</v>
      </c>
    </row>
    <row r="123" spans="33:37">
      <c r="AG123" s="41">
        <f t="shared" si="9"/>
        <v>121</v>
      </c>
      <c r="AH123" t="str">
        <f t="shared" si="7"/>
        <v>F</v>
      </c>
      <c r="AI123" t="str">
        <f t="shared" si="8"/>
        <v>Rg</v>
      </c>
      <c r="AJ123" s="6" t="str">
        <f t="shared" si="10"/>
        <v>2Rg</v>
      </c>
      <c r="AK123" s="19">
        <f t="shared" si="11"/>
        <v>-0.93400000000000005</v>
      </c>
    </row>
    <row r="124" spans="33:37">
      <c r="AG124" s="41">
        <f t="shared" si="9"/>
        <v>122</v>
      </c>
      <c r="AH124" t="str">
        <f t="shared" si="7"/>
        <v>F</v>
      </c>
      <c r="AI124" t="str">
        <f t="shared" si="8"/>
        <v>Rg</v>
      </c>
      <c r="AJ124" s="6" t="str">
        <f t="shared" si="10"/>
        <v>RgFx</v>
      </c>
      <c r="AK124" s="19">
        <f t="shared" si="11"/>
        <v>-0.73699999999999999</v>
      </c>
    </row>
    <row r="125" spans="33:37">
      <c r="AG125" s="41">
        <f t="shared" si="9"/>
        <v>123</v>
      </c>
      <c r="AH125" t="str">
        <f t="shared" si="7"/>
        <v>G</v>
      </c>
      <c r="AI125" t="str">
        <f t="shared" si="8"/>
        <v>Fx</v>
      </c>
      <c r="AJ125" s="6" t="str">
        <f t="shared" si="10"/>
        <v>2Rg</v>
      </c>
      <c r="AK125" s="19">
        <f t="shared" si="11"/>
        <v>-0.76</v>
      </c>
    </row>
    <row r="126" spans="33:37">
      <c r="AG126" s="41">
        <f t="shared" si="9"/>
        <v>124</v>
      </c>
      <c r="AH126" t="str">
        <f t="shared" si="7"/>
        <v>F</v>
      </c>
      <c r="AI126" t="str">
        <f t="shared" si="8"/>
        <v>Rg</v>
      </c>
      <c r="AJ126" s="6" t="str">
        <f t="shared" si="10"/>
        <v>RgFx</v>
      </c>
      <c r="AK126" s="19">
        <f t="shared" si="11"/>
        <v>-0.73699999999999999</v>
      </c>
    </row>
    <row r="127" spans="33:37">
      <c r="AG127" s="41">
        <f t="shared" si="9"/>
        <v>125</v>
      </c>
      <c r="AH127" t="str">
        <f t="shared" si="7"/>
        <v>F</v>
      </c>
      <c r="AI127" t="str">
        <f t="shared" si="8"/>
        <v>Rg</v>
      </c>
      <c r="AJ127" s="6" t="str">
        <f t="shared" si="10"/>
        <v>2Rg</v>
      </c>
      <c r="AK127" s="19">
        <f t="shared" si="11"/>
        <v>-0.93400000000000005</v>
      </c>
    </row>
    <row r="128" spans="33:37">
      <c r="AG128" s="41">
        <f t="shared" si="9"/>
        <v>126</v>
      </c>
      <c r="AH128" t="str">
        <f t="shared" si="7"/>
        <v>A</v>
      </c>
      <c r="AI128" t="str">
        <f t="shared" si="8"/>
        <v>Rg</v>
      </c>
      <c r="AJ128" s="6" t="str">
        <f t="shared" si="10"/>
        <v>RgFx</v>
      </c>
      <c r="AK128" s="19">
        <f t="shared" si="11"/>
        <v>-0.60899999999999999</v>
      </c>
    </row>
    <row r="129" spans="33:37">
      <c r="AG129" s="41">
        <f t="shared" si="9"/>
        <v>127</v>
      </c>
      <c r="AH129" t="str">
        <f t="shared" si="7"/>
        <v>N</v>
      </c>
      <c r="AI129" t="str">
        <f t="shared" si="8"/>
        <v>Fx</v>
      </c>
      <c r="AJ129" s="6" t="str">
        <f t="shared" si="10"/>
        <v>2Rg</v>
      </c>
      <c r="AK129" s="19">
        <f t="shared" si="11"/>
        <v>-0.57699999999999996</v>
      </c>
    </row>
    <row r="130" spans="33:37">
      <c r="AG130" s="41">
        <f t="shared" si="9"/>
        <v>128</v>
      </c>
      <c r="AH130" t="str">
        <f t="shared" si="7"/>
        <v>I</v>
      </c>
      <c r="AI130" t="str">
        <f t="shared" si="8"/>
        <v>Rg</v>
      </c>
      <c r="AJ130" s="6" t="str">
        <f t="shared" si="10"/>
        <v>RgFx</v>
      </c>
      <c r="AK130" s="19">
        <f t="shared" si="11"/>
        <v>-0.69299999999999995</v>
      </c>
    </row>
    <row r="131" spans="33:37">
      <c r="AG131" s="41">
        <f t="shared" si="9"/>
        <v>129</v>
      </c>
      <c r="AH131" t="str">
        <f t="shared" si="7"/>
        <v>I</v>
      </c>
      <c r="AI131" t="str">
        <f t="shared" si="8"/>
        <v>Rg</v>
      </c>
      <c r="AJ131" s="6" t="str">
        <f t="shared" si="10"/>
        <v>RgFx</v>
      </c>
      <c r="AK131" s="19">
        <f t="shared" ref="AK131" si="12">IF(AJ131&lt;&gt;"",VLOOKUP(AJ131,mv,HLOOKUP(AH131,mh,2,0),0),"")</f>
        <v>-0.69299999999999995</v>
      </c>
    </row>
    <row r="132" spans="33:37">
      <c r="AG132" s="41">
        <f t="shared" si="9"/>
        <v>130</v>
      </c>
      <c r="AH132" t="str">
        <f t="shared" ref="AH132:AH195" si="13">IF(AG132&lt;&gt;"",MID($AE$4,AG132,1),"")</f>
        <v>K</v>
      </c>
      <c r="AI132" t="str">
        <f t="shared" ref="AI132:AI146" si="14">IFERROR(VLOOKUP(AH132,$AA$4:$AB$13,2,0),VLOOKUP(AH132,$AC$4:$AD$13,2,0))</f>
        <v>Fx</v>
      </c>
      <c r="AJ132" s="6" t="str">
        <f t="shared" ref="AJ132:AJ146" si="15">IF(AND(AI131="Rg",AI133="Rg"),"2Rg",IF(AND(AI131="Rg",AI133="Fx"),"RgFx",IF(AND(AI131="Fx",AI133="Rg"),"RgFx",IF(AND(AI131="Fx",AI133="Fx"),"2Fx",""))))</f>
        <v>RgFx</v>
      </c>
      <c r="AK132" s="19">
        <f t="shared" ref="AK132:AK146" si="16">IF(AJ132&lt;&gt;"",VLOOKUP(AJ132,mv,HLOOKUP(AH132,mh,2,0),0),"")</f>
        <v>-6.5000000000000002E-2</v>
      </c>
    </row>
    <row r="133" spans="33:37">
      <c r="AG133" s="41">
        <f t="shared" ref="AG133:AG196" si="17">IF(AG132&lt;$AF$4,AG132+1,"")</f>
        <v>131</v>
      </c>
      <c r="AH133" t="str">
        <f t="shared" si="13"/>
        <v>E</v>
      </c>
      <c r="AI133" t="str">
        <f t="shared" si="14"/>
        <v>Fx</v>
      </c>
      <c r="AJ133" s="6" t="str">
        <f t="shared" si="15"/>
        <v>RgFx</v>
      </c>
      <c r="AK133" s="19">
        <f t="shared" si="16"/>
        <v>-0.16800000000000001</v>
      </c>
    </row>
    <row r="134" spans="33:37">
      <c r="AG134" s="41">
        <f t="shared" si="17"/>
        <v>132</v>
      </c>
      <c r="AH134" t="str">
        <f t="shared" si="13"/>
        <v>F</v>
      </c>
      <c r="AI134" t="str">
        <f t="shared" si="14"/>
        <v>Rg</v>
      </c>
      <c r="AJ134" s="6" t="str">
        <f t="shared" si="15"/>
        <v>RgFx</v>
      </c>
      <c r="AK134" s="19">
        <f t="shared" si="16"/>
        <v>-0.73699999999999999</v>
      </c>
    </row>
    <row r="135" spans="33:37">
      <c r="AG135" s="41">
        <f t="shared" si="17"/>
        <v>133</v>
      </c>
      <c r="AH135" t="str">
        <f t="shared" si="13"/>
        <v>A</v>
      </c>
      <c r="AI135" t="str">
        <f t="shared" si="14"/>
        <v>Rg</v>
      </c>
      <c r="AJ135" s="6" t="str">
        <f t="shared" si="15"/>
        <v>2Rg</v>
      </c>
      <c r="AK135" s="19">
        <f t="shared" si="16"/>
        <v>-0.79200000000000004</v>
      </c>
    </row>
    <row r="136" spans="33:37">
      <c r="AG136" s="41">
        <f t="shared" si="17"/>
        <v>134</v>
      </c>
      <c r="AH136" t="str">
        <f t="shared" si="13"/>
        <v>F</v>
      </c>
      <c r="AI136" t="str">
        <f t="shared" si="14"/>
        <v>Rg</v>
      </c>
      <c r="AJ136" s="6" t="str">
        <f t="shared" si="15"/>
        <v>RgFx</v>
      </c>
      <c r="AK136" s="19">
        <f t="shared" si="16"/>
        <v>-0.73699999999999999</v>
      </c>
    </row>
    <row r="137" spans="33:37">
      <c r="AG137" s="41">
        <f t="shared" si="17"/>
        <v>135</v>
      </c>
      <c r="AH137" t="str">
        <f t="shared" si="13"/>
        <v>E</v>
      </c>
      <c r="AI137" t="str">
        <f t="shared" si="14"/>
        <v>Fx</v>
      </c>
      <c r="AJ137" s="6" t="str">
        <f t="shared" si="15"/>
        <v>2Rg</v>
      </c>
      <c r="AK137" s="19">
        <f t="shared" si="16"/>
        <v>-0.48</v>
      </c>
    </row>
    <row r="138" spans="33:37">
      <c r="AG138" s="41">
        <f t="shared" si="17"/>
        <v>136</v>
      </c>
      <c r="AH138" t="str">
        <f t="shared" si="13"/>
        <v>L</v>
      </c>
      <c r="AI138" t="str">
        <f t="shared" si="14"/>
        <v>Rg</v>
      </c>
      <c r="AJ138" s="6" t="str">
        <f t="shared" si="15"/>
        <v>RgFx</v>
      </c>
      <c r="AK138" s="19">
        <f t="shared" si="16"/>
        <v>-0.64200000000000002</v>
      </c>
    </row>
    <row r="139" spans="33:37">
      <c r="AG139" s="41">
        <f t="shared" si="17"/>
        <v>137</v>
      </c>
      <c r="AH139" t="str">
        <f t="shared" si="13"/>
        <v>I</v>
      </c>
      <c r="AI139" t="str">
        <f t="shared" si="14"/>
        <v>Rg</v>
      </c>
      <c r="AJ139" s="6" t="str">
        <f t="shared" si="15"/>
        <v>2Rg</v>
      </c>
      <c r="AK139" s="19">
        <f t="shared" si="16"/>
        <v>-0.88900000000000001</v>
      </c>
    </row>
    <row r="140" spans="33:37">
      <c r="AG140" s="41">
        <f t="shared" si="17"/>
        <v>138</v>
      </c>
      <c r="AH140" t="str">
        <f t="shared" si="13"/>
        <v>F</v>
      </c>
      <c r="AI140" t="str">
        <f t="shared" si="14"/>
        <v>Rg</v>
      </c>
      <c r="AJ140" s="6" t="str">
        <f t="shared" si="15"/>
        <v>2Rg</v>
      </c>
      <c r="AK140" s="19">
        <f t="shared" si="16"/>
        <v>-0.93400000000000005</v>
      </c>
    </row>
    <row r="141" spans="33:37">
      <c r="AG141" s="41">
        <f t="shared" si="17"/>
        <v>139</v>
      </c>
      <c r="AH141" t="str">
        <f t="shared" si="13"/>
        <v>V</v>
      </c>
      <c r="AI141" t="str">
        <f t="shared" si="14"/>
        <v>Rg</v>
      </c>
      <c r="AJ141" s="6" t="str">
        <f t="shared" si="15"/>
        <v>2Rg</v>
      </c>
      <c r="AK141" s="19">
        <f t="shared" si="16"/>
        <v>-0.84699999999999998</v>
      </c>
    </row>
    <row r="142" spans="33:37">
      <c r="AG142" s="41">
        <f t="shared" si="17"/>
        <v>140</v>
      </c>
      <c r="AH142" t="str">
        <f t="shared" si="13"/>
        <v>F</v>
      </c>
      <c r="AI142" t="str">
        <f t="shared" si="14"/>
        <v>Rg</v>
      </c>
      <c r="AJ142" s="6" t="str">
        <f t="shared" si="15"/>
        <v>2Rg</v>
      </c>
      <c r="AK142" s="19">
        <f t="shared" si="16"/>
        <v>-0.93400000000000005</v>
      </c>
    </row>
    <row r="143" spans="33:37">
      <c r="AG143" s="41">
        <f t="shared" si="17"/>
        <v>141</v>
      </c>
      <c r="AH143" t="str">
        <f t="shared" si="13"/>
        <v>A</v>
      </c>
      <c r="AI143" t="str">
        <f t="shared" si="14"/>
        <v>Rg</v>
      </c>
      <c r="AJ143" s="6" t="str">
        <f t="shared" si="15"/>
        <v>2Rg</v>
      </c>
      <c r="AK143" s="19">
        <f t="shared" si="16"/>
        <v>-0.79200000000000004</v>
      </c>
    </row>
    <row r="144" spans="33:37">
      <c r="AG144" s="41">
        <f t="shared" si="17"/>
        <v>142</v>
      </c>
      <c r="AH144" t="str">
        <f t="shared" si="13"/>
        <v>L</v>
      </c>
      <c r="AI144" t="str">
        <f t="shared" si="14"/>
        <v>Rg</v>
      </c>
      <c r="AJ144" s="6" t="str">
        <f t="shared" si="15"/>
        <v>2Rg</v>
      </c>
      <c r="AK144" s="19">
        <f t="shared" si="16"/>
        <v>-0.86499999999999999</v>
      </c>
    </row>
    <row r="145" spans="33:37">
      <c r="AG145" s="41">
        <f t="shared" si="17"/>
        <v>143</v>
      </c>
      <c r="AH145" t="str">
        <f t="shared" si="13"/>
        <v>I</v>
      </c>
      <c r="AI145" t="str">
        <f t="shared" si="14"/>
        <v>Rg</v>
      </c>
      <c r="AJ145" s="6" t="str">
        <f t="shared" si="15"/>
        <v>2Rg</v>
      </c>
      <c r="AK145" s="19">
        <f t="shared" si="16"/>
        <v>-0.88900000000000001</v>
      </c>
    </row>
    <row r="146" spans="33:37">
      <c r="AG146" s="41">
        <f t="shared" si="17"/>
        <v>144</v>
      </c>
      <c r="AH146" t="str">
        <f t="shared" si="13"/>
        <v>L</v>
      </c>
      <c r="AI146" t="str">
        <f t="shared" si="14"/>
        <v>Rg</v>
      </c>
      <c r="AJ146" s="6" t="str">
        <f t="shared" si="15"/>
        <v>2Rg</v>
      </c>
      <c r="AK146" s="19">
        <f t="shared" si="16"/>
        <v>-0.86499999999999999</v>
      </c>
    </row>
    <row r="147" spans="33:37">
      <c r="AG147" s="41">
        <f t="shared" si="17"/>
        <v>145</v>
      </c>
      <c r="AH147" t="str">
        <f t="shared" si="13"/>
        <v>V</v>
      </c>
      <c r="AI147" t="str">
        <f t="shared" ref="AI147:AI190" si="18">IFERROR(VLOOKUP(AH147,$AA$4:$AB$13,2,0),VLOOKUP(AH147,$AC$4:$AD$13,2,0))</f>
        <v>Rg</v>
      </c>
      <c r="AJ147" s="6" t="str">
        <f t="shared" ref="AJ147:AJ190" si="19">IF(AND(AI146="Rg",AI148="Rg"),"2Rg",IF(AND(AI146="Rg",AI148="Fx"),"RgFx",IF(AND(AI146="Fx",AI148="Rg"),"RgFx",IF(AND(AI146="Fx",AI148="Fx"),"2Fx",""))))</f>
        <v>2Rg</v>
      </c>
      <c r="AK147" s="19">
        <f t="shared" ref="AK147:AK190" si="20">IF(AJ147&lt;&gt;"",VLOOKUP(AJ147,mv,HLOOKUP(AH147,mh,2,0),0),"")</f>
        <v>-0.84699999999999998</v>
      </c>
    </row>
    <row r="148" spans="33:37">
      <c r="AG148" s="41">
        <f t="shared" si="17"/>
        <v>146</v>
      </c>
      <c r="AH148" t="str">
        <f t="shared" si="13"/>
        <v>V</v>
      </c>
      <c r="AI148" t="str">
        <f t="shared" si="18"/>
        <v>Rg</v>
      </c>
      <c r="AJ148" s="6" t="str">
        <f t="shared" si="19"/>
        <v>2Rg</v>
      </c>
      <c r="AK148" s="19">
        <f t="shared" si="20"/>
        <v>-0.84699999999999998</v>
      </c>
    </row>
    <row r="149" spans="33:37">
      <c r="AG149" s="41">
        <f t="shared" si="17"/>
        <v>147</v>
      </c>
      <c r="AH149" t="str">
        <f t="shared" si="13"/>
        <v>I</v>
      </c>
      <c r="AI149" t="str">
        <f t="shared" si="18"/>
        <v>Rg</v>
      </c>
      <c r="AJ149" s="6" t="str">
        <f t="shared" si="19"/>
        <v>2Rg</v>
      </c>
      <c r="AK149" s="19">
        <f t="shared" si="20"/>
        <v>-0.88900000000000001</v>
      </c>
    </row>
    <row r="150" spans="33:37">
      <c r="AG150" s="41">
        <f t="shared" si="17"/>
        <v>148</v>
      </c>
      <c r="AH150" t="str">
        <f t="shared" si="13"/>
        <v>F</v>
      </c>
      <c r="AI150" t="str">
        <f t="shared" si="18"/>
        <v>Rg</v>
      </c>
      <c r="AJ150" s="6" t="str">
        <f t="shared" si="19"/>
        <v>RgFx</v>
      </c>
      <c r="AK150" s="19">
        <f t="shared" si="20"/>
        <v>-0.73699999999999999</v>
      </c>
    </row>
    <row r="151" spans="33:37">
      <c r="AG151" s="41">
        <f t="shared" si="17"/>
        <v>149</v>
      </c>
      <c r="AH151" t="str">
        <f t="shared" si="13"/>
        <v>S</v>
      </c>
      <c r="AI151" t="str">
        <f t="shared" si="18"/>
        <v>Fx</v>
      </c>
      <c r="AJ151" s="6" t="str">
        <f t="shared" si="19"/>
        <v>2Rg</v>
      </c>
      <c r="AK151" s="19">
        <f t="shared" si="20"/>
        <v>-0.64100000000000001</v>
      </c>
    </row>
    <row r="152" spans="33:37">
      <c r="AG152" s="41">
        <f t="shared" si="17"/>
        <v>150</v>
      </c>
      <c r="AH152" t="str">
        <f t="shared" si="13"/>
        <v>I</v>
      </c>
      <c r="AI152" t="str">
        <f t="shared" si="18"/>
        <v>Rg</v>
      </c>
      <c r="AJ152" s="6" t="str">
        <f t="shared" si="19"/>
        <v>RgFx</v>
      </c>
      <c r="AK152" s="19">
        <f t="shared" si="20"/>
        <v>-0.69299999999999995</v>
      </c>
    </row>
    <row r="153" spans="33:37">
      <c r="AG153" s="41">
        <f t="shared" si="17"/>
        <v>151</v>
      </c>
      <c r="AH153" t="str">
        <f t="shared" si="13"/>
        <v>L</v>
      </c>
      <c r="AI153" t="str">
        <f t="shared" si="18"/>
        <v>Rg</v>
      </c>
      <c r="AJ153" s="6" t="str">
        <f t="shared" si="19"/>
        <v>2Rg</v>
      </c>
      <c r="AK153" s="19">
        <f t="shared" si="20"/>
        <v>-0.86499999999999999</v>
      </c>
    </row>
    <row r="154" spans="33:37">
      <c r="AG154" s="41">
        <f t="shared" si="17"/>
        <v>152</v>
      </c>
      <c r="AH154" t="str">
        <f t="shared" si="13"/>
        <v>L</v>
      </c>
      <c r="AI154" t="str">
        <f t="shared" si="18"/>
        <v>Rg</v>
      </c>
      <c r="AJ154" s="6" t="str">
        <f t="shared" si="19"/>
        <v>2Rg</v>
      </c>
      <c r="AK154" s="19">
        <f t="shared" si="20"/>
        <v>-0.86499999999999999</v>
      </c>
    </row>
    <row r="155" spans="33:37">
      <c r="AG155" s="41">
        <f t="shared" si="17"/>
        <v>153</v>
      </c>
      <c r="AH155" t="str">
        <f t="shared" si="13"/>
        <v>I</v>
      </c>
      <c r="AI155" t="str">
        <f t="shared" si="18"/>
        <v>Rg</v>
      </c>
      <c r="AJ155" s="6" t="str">
        <f t="shared" si="19"/>
        <v>2Rg</v>
      </c>
      <c r="AK155" s="19">
        <f t="shared" si="20"/>
        <v>-0.88900000000000001</v>
      </c>
    </row>
    <row r="156" spans="33:37">
      <c r="AG156" s="41">
        <f t="shared" si="17"/>
        <v>154</v>
      </c>
      <c r="AH156" t="str">
        <f t="shared" si="13"/>
        <v>V</v>
      </c>
      <c r="AI156" t="str">
        <f t="shared" si="18"/>
        <v>Rg</v>
      </c>
      <c r="AJ156" s="6" t="str">
        <f t="shared" si="19"/>
        <v>2Rg</v>
      </c>
      <c r="AK156" s="19">
        <f t="shared" si="20"/>
        <v>-0.84699999999999998</v>
      </c>
    </row>
    <row r="157" spans="33:37">
      <c r="AG157" s="41">
        <f t="shared" si="17"/>
        <v>155</v>
      </c>
      <c r="AH157" t="str">
        <f t="shared" si="13"/>
        <v>F</v>
      </c>
      <c r="AI157" t="str">
        <f t="shared" si="18"/>
        <v>Rg</v>
      </c>
      <c r="AJ157" s="6" t="str">
        <f t="shared" si="19"/>
        <v>RgFx</v>
      </c>
      <c r="AK157" s="19">
        <f t="shared" si="20"/>
        <v>-0.73699999999999999</v>
      </c>
    </row>
    <row r="158" spans="33:37">
      <c r="AG158" s="41">
        <f t="shared" si="17"/>
        <v>156</v>
      </c>
      <c r="AH158" t="str">
        <f t="shared" si="13"/>
        <v>S</v>
      </c>
      <c r="AI158" t="str">
        <f t="shared" si="18"/>
        <v>Fx</v>
      </c>
      <c r="AJ158" s="6" t="str">
        <f t="shared" si="19"/>
        <v>2Rg</v>
      </c>
      <c r="AK158" s="19">
        <f t="shared" si="20"/>
        <v>-0.64100000000000001</v>
      </c>
    </row>
    <row r="159" spans="33:37">
      <c r="AG159" s="41">
        <f t="shared" si="17"/>
        <v>157</v>
      </c>
      <c r="AH159" t="str">
        <f t="shared" si="13"/>
        <v>V</v>
      </c>
      <c r="AI159" t="str">
        <f t="shared" si="18"/>
        <v>Rg</v>
      </c>
      <c r="AJ159" s="6" t="str">
        <f t="shared" si="19"/>
        <v>2Fx</v>
      </c>
      <c r="AK159" s="19">
        <f t="shared" si="20"/>
        <v>-0.501</v>
      </c>
    </row>
    <row r="160" spans="33:37">
      <c r="AG160" s="41">
        <f t="shared" si="17"/>
        <v>158</v>
      </c>
      <c r="AH160" t="str">
        <f t="shared" si="13"/>
        <v>E</v>
      </c>
      <c r="AI160" t="str">
        <f t="shared" si="18"/>
        <v>Fx</v>
      </c>
      <c r="AJ160" s="6" t="str">
        <f t="shared" si="19"/>
        <v>2Rg</v>
      </c>
      <c r="AK160" s="19">
        <f t="shared" si="20"/>
        <v>-0.48</v>
      </c>
    </row>
    <row r="161" spans="33:37">
      <c r="AG161" s="41">
        <f t="shared" si="17"/>
        <v>159</v>
      </c>
      <c r="AH161" t="str">
        <f t="shared" si="13"/>
        <v>H</v>
      </c>
      <c r="AI161" t="str">
        <f t="shared" si="18"/>
        <v>Rg</v>
      </c>
      <c r="AJ161" s="6" t="str">
        <f t="shared" si="19"/>
        <v>2Fx</v>
      </c>
      <c r="AK161" s="19">
        <f t="shared" si="20"/>
        <v>-0.48499999999999999</v>
      </c>
    </row>
    <row r="162" spans="33:37">
      <c r="AG162" s="41">
        <f t="shared" si="17"/>
        <v>160</v>
      </c>
      <c r="AH162" t="str">
        <f t="shared" si="13"/>
        <v>G</v>
      </c>
      <c r="AI162" t="str">
        <f t="shared" si="18"/>
        <v>Fx</v>
      </c>
      <c r="AJ162" s="6" t="str">
        <f t="shared" si="19"/>
        <v>RgFx</v>
      </c>
      <c r="AK162" s="19">
        <f t="shared" si="20"/>
        <v>-0.58799999999999997</v>
      </c>
    </row>
    <row r="163" spans="33:37">
      <c r="AG163" s="41">
        <f t="shared" si="17"/>
        <v>161</v>
      </c>
      <c r="AH163" t="str">
        <f t="shared" si="13"/>
        <v>G</v>
      </c>
      <c r="AI163" t="str">
        <f t="shared" si="18"/>
        <v>Fx</v>
      </c>
      <c r="AJ163" s="6" t="str">
        <f t="shared" si="19"/>
        <v>2Fx</v>
      </c>
      <c r="AK163" s="19">
        <f t="shared" si="20"/>
        <v>-0.24099999999999999</v>
      </c>
    </row>
    <row r="164" spans="33:37">
      <c r="AG164" s="41">
        <f t="shared" si="17"/>
        <v>162</v>
      </c>
      <c r="AH164" t="str">
        <f t="shared" si="13"/>
        <v>G</v>
      </c>
      <c r="AI164" t="str">
        <f t="shared" si="18"/>
        <v>Fx</v>
      </c>
      <c r="AJ164" s="6" t="str">
        <f t="shared" si="19"/>
        <v>2Fx</v>
      </c>
      <c r="AK164" s="19">
        <f t="shared" si="20"/>
        <v>-0.24099999999999999</v>
      </c>
    </row>
    <row r="165" spans="33:37">
      <c r="AG165" s="41">
        <f t="shared" si="17"/>
        <v>163</v>
      </c>
      <c r="AH165" t="str">
        <f t="shared" si="13"/>
        <v>N</v>
      </c>
      <c r="AI165" t="str">
        <f t="shared" si="18"/>
        <v>Fx</v>
      </c>
      <c r="AJ165" s="6" t="str">
        <f t="shared" si="19"/>
        <v>2Fx</v>
      </c>
      <c r="AK165" s="19">
        <f t="shared" si="20"/>
        <v>-0.185</v>
      </c>
    </row>
    <row r="166" spans="33:37">
      <c r="AG166" s="41">
        <f t="shared" si="17"/>
        <v>164</v>
      </c>
      <c r="AH166" t="str">
        <f t="shared" si="13"/>
        <v>E</v>
      </c>
      <c r="AI166" t="str">
        <f t="shared" si="18"/>
        <v>Fx</v>
      </c>
      <c r="AJ166" s="6" t="str">
        <f t="shared" si="19"/>
        <v>2Fx</v>
      </c>
      <c r="AK166" s="19">
        <f t="shared" si="20"/>
        <v>0.189</v>
      </c>
    </row>
    <row r="167" spans="33:37">
      <c r="AG167" s="41">
        <f t="shared" si="17"/>
        <v>165</v>
      </c>
      <c r="AH167" t="str">
        <f t="shared" si="13"/>
        <v>K</v>
      </c>
      <c r="AI167" t="str">
        <f t="shared" si="18"/>
        <v>Fx</v>
      </c>
      <c r="AJ167" s="6" t="str">
        <f t="shared" si="19"/>
        <v>RgFx</v>
      </c>
      <c r="AK167" s="19">
        <f t="shared" si="20"/>
        <v>-6.5000000000000002E-2</v>
      </c>
    </row>
    <row r="168" spans="33:37">
      <c r="AG168" s="41">
        <f t="shared" si="17"/>
        <v>166</v>
      </c>
      <c r="AH168" t="str">
        <f t="shared" si="13"/>
        <v>I</v>
      </c>
      <c r="AI168" t="str">
        <f t="shared" si="18"/>
        <v>Rg</v>
      </c>
      <c r="AJ168" s="6" t="str">
        <f t="shared" si="19"/>
        <v>2Fx</v>
      </c>
      <c r="AK168" s="19">
        <f t="shared" si="20"/>
        <v>-0.53800000000000003</v>
      </c>
    </row>
    <row r="169" spans="33:37">
      <c r="AG169" s="41">
        <f t="shared" si="17"/>
        <v>167</v>
      </c>
      <c r="AH169" t="str">
        <f t="shared" si="13"/>
        <v>N</v>
      </c>
      <c r="AI169" t="str">
        <f t="shared" si="18"/>
        <v>Fx</v>
      </c>
      <c r="AJ169" s="6" t="str">
        <f t="shared" si="19"/>
        <v>RgFx</v>
      </c>
      <c r="AK169" s="19">
        <f t="shared" si="20"/>
        <v>-0.39800000000000002</v>
      </c>
    </row>
    <row r="170" spans="33:37">
      <c r="AG170" s="41">
        <f t="shared" si="17"/>
        <v>168</v>
      </c>
      <c r="AH170" t="str">
        <f t="shared" si="13"/>
        <v>T</v>
      </c>
      <c r="AI170" t="str">
        <f t="shared" si="18"/>
        <v>Fx</v>
      </c>
      <c r="AJ170" s="6" t="str">
        <f t="shared" si="19"/>
        <v>RgFx</v>
      </c>
      <c r="AK170" s="19">
        <f t="shared" si="20"/>
        <v>-0.50600000000000001</v>
      </c>
    </row>
    <row r="171" spans="33:37">
      <c r="AG171" s="41">
        <f t="shared" si="17"/>
        <v>169</v>
      </c>
      <c r="AH171" t="str">
        <f t="shared" si="13"/>
        <v>F</v>
      </c>
      <c r="AI171" t="str">
        <f t="shared" si="18"/>
        <v>Rg</v>
      </c>
      <c r="AJ171" s="6" t="str">
        <f t="shared" si="19"/>
        <v>RgFx</v>
      </c>
      <c r="AK171" s="19">
        <f t="shared" si="20"/>
        <v>-0.73699999999999999</v>
      </c>
    </row>
    <row r="172" spans="33:37">
      <c r="AG172" s="41">
        <f t="shared" si="17"/>
        <v>170</v>
      </c>
      <c r="AH172" t="str">
        <f t="shared" si="13"/>
        <v>F</v>
      </c>
      <c r="AI172" t="str">
        <f t="shared" si="18"/>
        <v>Rg</v>
      </c>
      <c r="AJ172" s="6" t="str">
        <f t="shared" si="19"/>
        <v>RgFx</v>
      </c>
      <c r="AK172" s="19">
        <f t="shared" si="20"/>
        <v>-0.73699999999999999</v>
      </c>
    </row>
    <row r="173" spans="33:37">
      <c r="AG173" s="41">
        <f t="shared" si="17"/>
        <v>171</v>
      </c>
      <c r="AH173" t="str">
        <f t="shared" si="13"/>
        <v>D</v>
      </c>
      <c r="AI173" t="str">
        <f t="shared" si="18"/>
        <v>Fx</v>
      </c>
      <c r="AJ173" s="6" t="str">
        <f t="shared" si="19"/>
        <v>2Rg</v>
      </c>
      <c r="AK173" s="19">
        <f t="shared" si="20"/>
        <v>-0.58399999999999996</v>
      </c>
    </row>
    <row r="174" spans="33:37">
      <c r="AG174" s="41">
        <f t="shared" si="17"/>
        <v>172</v>
      </c>
      <c r="AH174" t="str">
        <f t="shared" si="13"/>
        <v>A</v>
      </c>
      <c r="AI174" t="str">
        <f t="shared" si="18"/>
        <v>Rg</v>
      </c>
      <c r="AJ174" s="6" t="str">
        <f t="shared" si="19"/>
        <v>RgFx</v>
      </c>
      <c r="AK174" s="19">
        <f t="shared" si="20"/>
        <v>-0.60899999999999999</v>
      </c>
    </row>
    <row r="175" spans="33:37">
      <c r="AG175" s="41">
        <f t="shared" si="17"/>
        <v>173</v>
      </c>
      <c r="AH175" t="str">
        <f t="shared" si="13"/>
        <v>L</v>
      </c>
      <c r="AI175" t="str">
        <f t="shared" si="18"/>
        <v>Rg</v>
      </c>
      <c r="AJ175" s="6" t="str">
        <f t="shared" si="19"/>
        <v>2Rg</v>
      </c>
      <c r="AK175" s="19">
        <f t="shared" si="20"/>
        <v>-0.86499999999999999</v>
      </c>
    </row>
    <row r="176" spans="33:37">
      <c r="AG176" s="41">
        <f t="shared" si="17"/>
        <v>174</v>
      </c>
      <c r="AH176" t="str">
        <f t="shared" si="13"/>
        <v>Y</v>
      </c>
      <c r="AI176" t="str">
        <f t="shared" si="18"/>
        <v>Rg</v>
      </c>
      <c r="AJ176" s="6" t="str">
        <f t="shared" si="19"/>
        <v>2Rg</v>
      </c>
      <c r="AK176" s="19">
        <f t="shared" si="20"/>
        <v>-0.90400000000000003</v>
      </c>
    </row>
    <row r="177" spans="33:37">
      <c r="AG177" s="41">
        <f t="shared" si="17"/>
        <v>175</v>
      </c>
      <c r="AH177" t="str">
        <f t="shared" si="13"/>
        <v>Y</v>
      </c>
      <c r="AI177" t="str">
        <f t="shared" si="18"/>
        <v>Rg</v>
      </c>
      <c r="AJ177" s="6" t="str">
        <f t="shared" si="19"/>
        <v>2Rg</v>
      </c>
      <c r="AK177" s="19">
        <f t="shared" si="20"/>
        <v>-0.90400000000000003</v>
      </c>
    </row>
    <row r="178" spans="33:37">
      <c r="AG178" s="41">
        <f t="shared" si="17"/>
        <v>176</v>
      </c>
      <c r="AH178" t="str">
        <f t="shared" si="13"/>
        <v>V</v>
      </c>
      <c r="AI178" t="str">
        <f t="shared" si="18"/>
        <v>Rg</v>
      </c>
      <c r="AJ178" s="6" t="str">
        <f t="shared" si="19"/>
        <v>2Rg</v>
      </c>
      <c r="AK178" s="19">
        <f t="shared" si="20"/>
        <v>-0.84699999999999998</v>
      </c>
    </row>
    <row r="179" spans="33:37">
      <c r="AG179" s="41">
        <f t="shared" si="17"/>
        <v>177</v>
      </c>
      <c r="AH179" t="str">
        <f t="shared" si="13"/>
        <v>I</v>
      </c>
      <c r="AI179" t="str">
        <f t="shared" si="18"/>
        <v>Rg</v>
      </c>
      <c r="AJ179" s="6" t="str">
        <f t="shared" si="19"/>
        <v>2Rg</v>
      </c>
      <c r="AK179" s="19">
        <f t="shared" si="20"/>
        <v>-0.88900000000000001</v>
      </c>
    </row>
    <row r="180" spans="33:37">
      <c r="AG180" s="41">
        <f t="shared" si="17"/>
        <v>178</v>
      </c>
      <c r="AH180" t="str">
        <f t="shared" si="13"/>
        <v>I</v>
      </c>
      <c r="AI180" t="str">
        <f t="shared" si="18"/>
        <v>Rg</v>
      </c>
      <c r="AJ180" s="6" t="str">
        <f t="shared" si="19"/>
        <v>RgFx</v>
      </c>
      <c r="AK180" s="19">
        <f t="shared" si="20"/>
        <v>-0.69299999999999995</v>
      </c>
    </row>
    <row r="181" spans="33:37">
      <c r="AG181" s="41">
        <f t="shared" si="17"/>
        <v>179</v>
      </c>
      <c r="AH181" t="str">
        <f t="shared" si="13"/>
        <v>T</v>
      </c>
      <c r="AI181" t="str">
        <f t="shared" si="18"/>
        <v>Fx</v>
      </c>
      <c r="AJ181" s="6" t="str">
        <f t="shared" si="19"/>
        <v>2Rg</v>
      </c>
      <c r="AK181" s="19">
        <f t="shared" si="20"/>
        <v>-0.70699999999999996</v>
      </c>
    </row>
    <row r="182" spans="33:37">
      <c r="AG182" s="41">
        <f t="shared" si="17"/>
        <v>180</v>
      </c>
      <c r="AH182" t="str">
        <f t="shared" si="13"/>
        <v>A</v>
      </c>
      <c r="AI182" t="str">
        <f t="shared" si="18"/>
        <v>Rg</v>
      </c>
      <c r="AJ182" s="6" t="str">
        <f t="shared" si="19"/>
        <v>2Fx</v>
      </c>
      <c r="AK182" s="19">
        <f t="shared" si="20"/>
        <v>-0.38700000000000001</v>
      </c>
    </row>
    <row r="183" spans="33:37">
      <c r="AG183" s="41">
        <f t="shared" si="17"/>
        <v>181</v>
      </c>
      <c r="AH183" t="str">
        <f t="shared" si="13"/>
        <v>T</v>
      </c>
      <c r="AI183" t="str">
        <f t="shared" si="18"/>
        <v>Fx</v>
      </c>
      <c r="AJ183" s="6" t="str">
        <f t="shared" si="19"/>
        <v>RgFx</v>
      </c>
      <c r="AK183" s="19">
        <f t="shared" si="20"/>
        <v>-0.50600000000000001</v>
      </c>
    </row>
    <row r="184" spans="33:37">
      <c r="AG184" s="41">
        <f t="shared" si="17"/>
        <v>182</v>
      </c>
      <c r="AH184" t="str">
        <f t="shared" si="13"/>
        <v>T</v>
      </c>
      <c r="AI184" t="str">
        <f t="shared" si="18"/>
        <v>Fx</v>
      </c>
      <c r="AJ184" s="6" t="str">
        <f t="shared" si="19"/>
        <v>RgFx</v>
      </c>
      <c r="AK184" s="19">
        <f t="shared" si="20"/>
        <v>-0.50600000000000001</v>
      </c>
    </row>
    <row r="185" spans="33:37">
      <c r="AG185" s="41">
        <f t="shared" si="17"/>
        <v>183</v>
      </c>
      <c r="AH185" t="str">
        <f t="shared" si="13"/>
        <v>V</v>
      </c>
      <c r="AI185" t="str">
        <f t="shared" si="18"/>
        <v>Rg</v>
      </c>
      <c r="AJ185" s="6" t="str">
        <f t="shared" si="19"/>
        <v>2Fx</v>
      </c>
      <c r="AK185" s="19">
        <f t="shared" si="20"/>
        <v>-0.501</v>
      </c>
    </row>
    <row r="186" spans="33:37">
      <c r="AG186" s="41">
        <f t="shared" si="17"/>
        <v>184</v>
      </c>
      <c r="AH186" t="str">
        <f t="shared" si="13"/>
        <v>G</v>
      </c>
      <c r="AI186" t="str">
        <f t="shared" si="18"/>
        <v>Fx</v>
      </c>
      <c r="AJ186" s="6" t="str">
        <f t="shared" si="19"/>
        <v>2Rg</v>
      </c>
      <c r="AK186" s="19">
        <f t="shared" si="20"/>
        <v>-0.76</v>
      </c>
    </row>
    <row r="187" spans="33:37">
      <c r="AG187" s="41">
        <f t="shared" si="17"/>
        <v>185</v>
      </c>
      <c r="AH187" t="str">
        <f t="shared" si="13"/>
        <v>Y</v>
      </c>
      <c r="AI187" t="str">
        <f t="shared" si="18"/>
        <v>Rg</v>
      </c>
      <c r="AJ187" s="6" t="str">
        <f t="shared" si="19"/>
        <v>2Fx</v>
      </c>
      <c r="AK187" s="19">
        <f t="shared" si="20"/>
        <v>-0.503</v>
      </c>
    </row>
    <row r="188" spans="33:37">
      <c r="AG188" s="41">
        <f t="shared" si="17"/>
        <v>186</v>
      </c>
      <c r="AH188" t="str">
        <f t="shared" si="13"/>
        <v>G</v>
      </c>
      <c r="AI188" t="str">
        <f t="shared" si="18"/>
        <v>Fx</v>
      </c>
      <c r="AJ188" s="6" t="str">
        <f t="shared" si="19"/>
        <v>RgFx</v>
      </c>
      <c r="AK188" s="19">
        <f t="shared" si="20"/>
        <v>-0.58799999999999997</v>
      </c>
    </row>
    <row r="189" spans="33:37">
      <c r="AG189" s="41">
        <f t="shared" si="17"/>
        <v>187</v>
      </c>
      <c r="AH189" t="str">
        <f t="shared" si="13"/>
        <v>D</v>
      </c>
      <c r="AI189" t="str">
        <f t="shared" si="18"/>
        <v>Fx</v>
      </c>
      <c r="AJ189" s="6" t="str">
        <f t="shared" si="19"/>
        <v>RgFx</v>
      </c>
      <c r="AK189" s="19">
        <f t="shared" si="20"/>
        <v>-0.28499999999999998</v>
      </c>
    </row>
    <row r="190" spans="33:37">
      <c r="AG190" s="41">
        <f t="shared" si="17"/>
        <v>188</v>
      </c>
      <c r="AH190" t="str">
        <f t="shared" si="13"/>
        <v>I</v>
      </c>
      <c r="AI190" t="str">
        <f t="shared" si="18"/>
        <v>Rg</v>
      </c>
      <c r="AJ190" s="6" t="str">
        <f t="shared" si="19"/>
        <v>2Fx</v>
      </c>
      <c r="AK190" s="19">
        <f t="shared" si="20"/>
        <v>-0.53800000000000003</v>
      </c>
    </row>
    <row r="191" spans="33:37">
      <c r="AG191" s="41">
        <f t="shared" si="17"/>
        <v>189</v>
      </c>
      <c r="AH191" t="str">
        <f t="shared" si="13"/>
        <v>T</v>
      </c>
      <c r="AI191" t="str">
        <f t="shared" ref="AI191:AI254" si="21">IFERROR(VLOOKUP(AH191,$AA$4:$AB$13,2,0),VLOOKUP(AH191,$AC$4:$AD$13,2,0))</f>
        <v>Fx</v>
      </c>
      <c r="AJ191" s="6" t="str">
        <f t="shared" ref="AJ191:AJ254" si="22">IF(AND(AI190="Rg",AI192="Rg"),"2Rg",IF(AND(AI190="Rg",AI192="Fx"),"RgFx",IF(AND(AI190="Fx",AI192="Rg"),"RgFx",IF(AND(AI190="Fx",AI192="Fx"),"2Fx",""))))</f>
        <v>RgFx</v>
      </c>
      <c r="AK191" s="19">
        <f t="shared" ref="AK191:AK254" si="23">IF(AJ191&lt;&gt;"",VLOOKUP(AJ191,mv,HLOOKUP(AH191,mh,2,0),0),"")</f>
        <v>-0.50600000000000001</v>
      </c>
    </row>
    <row r="192" spans="33:37">
      <c r="AG192" s="41">
        <f t="shared" si="17"/>
        <v>190</v>
      </c>
      <c r="AH192" t="str">
        <f t="shared" si="13"/>
        <v>P</v>
      </c>
      <c r="AI192" t="str">
        <f t="shared" si="21"/>
        <v>Fx</v>
      </c>
      <c r="AJ192" s="6" t="str">
        <f t="shared" si="22"/>
        <v>2Fx</v>
      </c>
      <c r="AK192" s="19">
        <f t="shared" si="23"/>
        <v>-0.12</v>
      </c>
    </row>
    <row r="193" spans="33:37">
      <c r="AG193" s="41">
        <f t="shared" si="17"/>
        <v>191</v>
      </c>
      <c r="AH193" t="str">
        <f t="shared" si="13"/>
        <v>T</v>
      </c>
      <c r="AI193" t="str">
        <f t="shared" si="21"/>
        <v>Fx</v>
      </c>
      <c r="AJ193" s="6" t="str">
        <f t="shared" si="22"/>
        <v>2Fx</v>
      </c>
      <c r="AK193" s="19">
        <f t="shared" si="23"/>
        <v>-0.39</v>
      </c>
    </row>
    <row r="194" spans="33:37">
      <c r="AG194" s="41">
        <f t="shared" si="17"/>
        <v>192</v>
      </c>
      <c r="AH194" t="str">
        <f t="shared" si="13"/>
        <v>T</v>
      </c>
      <c r="AI194" t="str">
        <f t="shared" si="21"/>
        <v>Fx</v>
      </c>
      <c r="AJ194" s="6" t="str">
        <f t="shared" si="22"/>
        <v>2Fx</v>
      </c>
      <c r="AK194" s="19">
        <f t="shared" si="23"/>
        <v>-0.39</v>
      </c>
    </row>
    <row r="195" spans="33:37">
      <c r="AG195" s="41">
        <f t="shared" si="17"/>
        <v>193</v>
      </c>
      <c r="AH195" t="str">
        <f t="shared" si="13"/>
        <v>P</v>
      </c>
      <c r="AI195" t="str">
        <f t="shared" si="21"/>
        <v>Fx</v>
      </c>
      <c r="AJ195" s="6" t="str">
        <f t="shared" si="22"/>
        <v>RgFx</v>
      </c>
      <c r="AK195" s="19">
        <f t="shared" si="23"/>
        <v>-0.315</v>
      </c>
    </row>
    <row r="196" spans="33:37">
      <c r="AG196" s="41">
        <f t="shared" si="17"/>
        <v>194</v>
      </c>
      <c r="AH196" t="str">
        <f t="shared" ref="AH196:AH259" si="24">IF(AG196&lt;&gt;"",MID($AE$4,AG196,1),"")</f>
        <v>L</v>
      </c>
      <c r="AI196" t="str">
        <f t="shared" si="21"/>
        <v>Rg</v>
      </c>
      <c r="AJ196" s="6" t="str">
        <f t="shared" si="22"/>
        <v>2Fx</v>
      </c>
      <c r="AK196" s="19">
        <f t="shared" si="23"/>
        <v>-0.42199999999999999</v>
      </c>
    </row>
    <row r="197" spans="33:37">
      <c r="AG197" s="41">
        <f t="shared" ref="AG197:AG260" si="25">IF(AG196&lt;$AF$4,AG196+1,"")</f>
        <v>195</v>
      </c>
      <c r="AH197" t="str">
        <f t="shared" si="24"/>
        <v>G</v>
      </c>
      <c r="AI197" t="str">
        <f t="shared" si="21"/>
        <v>Fx</v>
      </c>
      <c r="AJ197" s="6" t="str">
        <f t="shared" si="22"/>
        <v>RgFx</v>
      </c>
      <c r="AK197" s="19">
        <f t="shared" si="23"/>
        <v>-0.58799999999999997</v>
      </c>
    </row>
    <row r="198" spans="33:37">
      <c r="AG198" s="41">
        <f t="shared" si="25"/>
        <v>196</v>
      </c>
      <c r="AH198" t="str">
        <f t="shared" si="24"/>
        <v>K</v>
      </c>
      <c r="AI198" t="str">
        <f t="shared" si="21"/>
        <v>Fx</v>
      </c>
      <c r="AJ198" s="6" t="str">
        <f t="shared" si="22"/>
        <v>RgFx</v>
      </c>
      <c r="AK198" s="19">
        <f t="shared" si="23"/>
        <v>-6.5000000000000002E-2</v>
      </c>
    </row>
    <row r="199" spans="33:37">
      <c r="AG199" s="41">
        <f t="shared" si="25"/>
        <v>197</v>
      </c>
      <c r="AH199" t="str">
        <f t="shared" si="24"/>
        <v>A</v>
      </c>
      <c r="AI199" t="str">
        <f t="shared" si="21"/>
        <v>Rg</v>
      </c>
      <c r="AJ199" s="6" t="str">
        <f t="shared" si="22"/>
        <v>RgFx</v>
      </c>
      <c r="AK199" s="19">
        <f t="shared" si="23"/>
        <v>-0.60899999999999999</v>
      </c>
    </row>
    <row r="200" spans="33:37">
      <c r="AG200" s="41">
        <f t="shared" si="25"/>
        <v>198</v>
      </c>
      <c r="AH200" t="str">
        <f t="shared" si="24"/>
        <v>L</v>
      </c>
      <c r="AI200" t="str">
        <f t="shared" si="21"/>
        <v>Rg</v>
      </c>
      <c r="AJ200" s="6" t="str">
        <f t="shared" si="22"/>
        <v>2Rg</v>
      </c>
      <c r="AK200" s="19">
        <f t="shared" si="23"/>
        <v>-0.86499999999999999</v>
      </c>
    </row>
    <row r="201" spans="33:37">
      <c r="AG201" s="41">
        <f t="shared" si="25"/>
        <v>199</v>
      </c>
      <c r="AH201" t="str">
        <f t="shared" si="24"/>
        <v>A</v>
      </c>
      <c r="AI201" t="str">
        <f t="shared" si="21"/>
        <v>Rg</v>
      </c>
      <c r="AJ201" s="6" t="str">
        <f t="shared" si="22"/>
        <v>2Rg</v>
      </c>
      <c r="AK201" s="19">
        <f t="shared" si="23"/>
        <v>-0.79200000000000004</v>
      </c>
    </row>
    <row r="202" spans="33:37">
      <c r="AG202" s="41">
        <f t="shared" si="25"/>
        <v>200</v>
      </c>
      <c r="AH202" t="str">
        <f t="shared" si="24"/>
        <v>M</v>
      </c>
      <c r="AI202" t="str">
        <f t="shared" si="21"/>
        <v>Rg</v>
      </c>
      <c r="AJ202" s="6" t="str">
        <f t="shared" si="22"/>
        <v>2Rg</v>
      </c>
      <c r="AK202" s="19">
        <f t="shared" si="23"/>
        <v>-0.82599999999999996</v>
      </c>
    </row>
    <row r="203" spans="33:37">
      <c r="AG203" s="41">
        <f t="shared" si="25"/>
        <v>201</v>
      </c>
      <c r="AH203" t="str">
        <f t="shared" si="24"/>
        <v>V</v>
      </c>
      <c r="AI203" t="str">
        <f t="shared" si="21"/>
        <v>Rg</v>
      </c>
      <c r="AJ203" s="6" t="str">
        <f t="shared" si="22"/>
        <v>2Rg</v>
      </c>
      <c r="AK203" s="19">
        <f t="shared" si="23"/>
        <v>-0.84699999999999998</v>
      </c>
    </row>
    <row r="204" spans="33:37">
      <c r="AG204" s="41">
        <f t="shared" si="25"/>
        <v>202</v>
      </c>
      <c r="AH204" t="str">
        <f t="shared" si="24"/>
        <v>L</v>
      </c>
      <c r="AI204" t="str">
        <f t="shared" si="21"/>
        <v>Rg</v>
      </c>
      <c r="AJ204" s="6" t="str">
        <f t="shared" si="22"/>
        <v>RgFx</v>
      </c>
      <c r="AK204" s="19">
        <f t="shared" si="23"/>
        <v>-0.64200000000000002</v>
      </c>
    </row>
    <row r="205" spans="33:37">
      <c r="AG205" s="41">
        <f t="shared" si="25"/>
        <v>203</v>
      </c>
      <c r="AH205" t="str">
        <f t="shared" si="24"/>
        <v>G</v>
      </c>
      <c r="AI205" t="str">
        <f t="shared" si="21"/>
        <v>Fx</v>
      </c>
      <c r="AJ205" s="6" t="str">
        <f t="shared" si="22"/>
        <v>2Rg</v>
      </c>
      <c r="AK205" s="19">
        <f t="shared" si="23"/>
        <v>-0.76</v>
      </c>
    </row>
    <row r="206" spans="33:37">
      <c r="AG206" s="41">
        <f t="shared" si="25"/>
        <v>204</v>
      </c>
      <c r="AH206" t="str">
        <f t="shared" si="24"/>
        <v>V</v>
      </c>
      <c r="AI206" t="str">
        <f t="shared" si="21"/>
        <v>Rg</v>
      </c>
      <c r="AJ206" s="6" t="str">
        <f t="shared" si="22"/>
        <v>RgFx</v>
      </c>
      <c r="AK206" s="19">
        <f t="shared" si="23"/>
        <v>-0.67300000000000004</v>
      </c>
    </row>
    <row r="207" spans="33:37">
      <c r="AG207" s="41">
        <f t="shared" si="25"/>
        <v>205</v>
      </c>
      <c r="AH207" t="str">
        <f t="shared" si="24"/>
        <v>L</v>
      </c>
      <c r="AI207" t="str">
        <f t="shared" si="21"/>
        <v>Rg</v>
      </c>
      <c r="AJ207" s="6" t="str">
        <f t="shared" si="22"/>
        <v>RgFx</v>
      </c>
      <c r="AK207" s="19">
        <f t="shared" si="23"/>
        <v>-0.64200000000000002</v>
      </c>
    </row>
    <row r="208" spans="33:37">
      <c r="AG208" s="41">
        <f t="shared" si="25"/>
        <v>206</v>
      </c>
      <c r="AH208" t="str">
        <f t="shared" si="24"/>
        <v>G</v>
      </c>
      <c r="AI208" t="str">
        <f t="shared" si="21"/>
        <v>Fx</v>
      </c>
      <c r="AJ208" s="6" t="str">
        <f t="shared" si="22"/>
        <v>2Rg</v>
      </c>
      <c r="AK208" s="19">
        <f t="shared" si="23"/>
        <v>-0.76</v>
      </c>
    </row>
    <row r="209" spans="33:37">
      <c r="AG209" s="41">
        <f t="shared" si="25"/>
        <v>207</v>
      </c>
      <c r="AH209" t="str">
        <f t="shared" si="24"/>
        <v>L</v>
      </c>
      <c r="AI209" t="str">
        <f t="shared" si="21"/>
        <v>Rg</v>
      </c>
      <c r="AJ209" s="6" t="str">
        <f t="shared" si="22"/>
        <v>RgFx</v>
      </c>
      <c r="AK209" s="19">
        <f t="shared" si="23"/>
        <v>-0.64200000000000002</v>
      </c>
    </row>
    <row r="210" spans="33:37">
      <c r="AG210" s="41">
        <f t="shared" si="25"/>
        <v>208</v>
      </c>
      <c r="AH210" t="str">
        <f t="shared" si="24"/>
        <v>F</v>
      </c>
      <c r="AI210" t="str">
        <f t="shared" si="21"/>
        <v>Rg</v>
      </c>
      <c r="AJ210" s="6" t="str">
        <f t="shared" si="22"/>
        <v>2Rg</v>
      </c>
      <c r="AK210" s="19">
        <f t="shared" si="23"/>
        <v>-0.93400000000000005</v>
      </c>
    </row>
    <row r="211" spans="33:37">
      <c r="AG211" s="41">
        <f t="shared" si="25"/>
        <v>209</v>
      </c>
      <c r="AH211" t="str">
        <f t="shared" si="24"/>
        <v>L</v>
      </c>
      <c r="AI211" t="str">
        <f t="shared" si="21"/>
        <v>Rg</v>
      </c>
      <c r="AJ211" s="6" t="str">
        <f t="shared" si="22"/>
        <v>2Rg</v>
      </c>
      <c r="AK211" s="19">
        <f t="shared" si="23"/>
        <v>-0.86499999999999999</v>
      </c>
    </row>
    <row r="212" spans="33:37">
      <c r="AG212" s="41">
        <f t="shared" si="25"/>
        <v>210</v>
      </c>
      <c r="AH212" t="str">
        <f t="shared" si="24"/>
        <v>F</v>
      </c>
      <c r="AI212" t="str">
        <f t="shared" si="21"/>
        <v>Rg</v>
      </c>
      <c r="AJ212" s="6" t="str">
        <f t="shared" si="22"/>
        <v>RgFx</v>
      </c>
      <c r="AK212" s="19">
        <f t="shared" si="23"/>
        <v>-0.73699999999999999</v>
      </c>
    </row>
    <row r="213" spans="33:37">
      <c r="AG213" s="41">
        <f t="shared" si="25"/>
        <v>211</v>
      </c>
      <c r="AH213" t="str">
        <f t="shared" si="24"/>
        <v>S</v>
      </c>
      <c r="AI213" t="str">
        <f t="shared" si="21"/>
        <v>Fx</v>
      </c>
      <c r="AJ213" s="6" t="str">
        <f t="shared" si="22"/>
        <v>2Rg</v>
      </c>
      <c r="AK213" s="19">
        <f t="shared" si="23"/>
        <v>-0.64100000000000001</v>
      </c>
    </row>
    <row r="214" spans="33:37">
      <c r="AG214" s="41">
        <f t="shared" si="25"/>
        <v>212</v>
      </c>
      <c r="AH214" t="str">
        <f t="shared" si="24"/>
        <v>L</v>
      </c>
      <c r="AI214" t="str">
        <f t="shared" si="21"/>
        <v>Rg</v>
      </c>
      <c r="AJ214" s="6" t="str">
        <f t="shared" si="22"/>
        <v>RgFx</v>
      </c>
      <c r="AK214" s="19">
        <f t="shared" si="23"/>
        <v>-0.64200000000000002</v>
      </c>
    </row>
    <row r="215" spans="33:37">
      <c r="AG215" s="41">
        <f t="shared" si="25"/>
        <v>213</v>
      </c>
      <c r="AH215" t="str">
        <f t="shared" si="24"/>
        <v>I</v>
      </c>
      <c r="AI215" t="str">
        <f t="shared" si="21"/>
        <v>Rg</v>
      </c>
      <c r="AJ215" s="6" t="str">
        <f t="shared" si="22"/>
        <v>RgFx</v>
      </c>
      <c r="AK215" s="19">
        <f t="shared" si="23"/>
        <v>-0.69299999999999995</v>
      </c>
    </row>
    <row r="216" spans="33:37">
      <c r="AG216" s="41">
        <f t="shared" si="25"/>
        <v>214</v>
      </c>
      <c r="AH216" t="str">
        <f t="shared" si="24"/>
        <v>T</v>
      </c>
      <c r="AI216" t="str">
        <f t="shared" si="21"/>
        <v>Fx</v>
      </c>
      <c r="AJ216" s="6" t="str">
        <f t="shared" si="22"/>
        <v>2Rg</v>
      </c>
      <c r="AK216" s="19">
        <f t="shared" si="23"/>
        <v>-0.70699999999999996</v>
      </c>
    </row>
    <row r="217" spans="33:37">
      <c r="AG217" s="41">
        <f t="shared" si="25"/>
        <v>215</v>
      </c>
      <c r="AH217" t="str">
        <f t="shared" si="24"/>
        <v>A</v>
      </c>
      <c r="AI217" t="str">
        <f t="shared" si="21"/>
        <v>Rg</v>
      </c>
      <c r="AJ217" s="6" t="str">
        <f t="shared" si="22"/>
        <v>2Fx</v>
      </c>
      <c r="AK217" s="19">
        <f t="shared" si="23"/>
        <v>-0.38700000000000001</v>
      </c>
    </row>
    <row r="218" spans="33:37">
      <c r="AG218" s="41">
        <f t="shared" si="25"/>
        <v>216</v>
      </c>
      <c r="AH218" t="str">
        <f t="shared" si="24"/>
        <v>T</v>
      </c>
      <c r="AI218" t="str">
        <f t="shared" si="21"/>
        <v>Fx</v>
      </c>
      <c r="AJ218" s="6" t="str">
        <f t="shared" si="22"/>
        <v>2Rg</v>
      </c>
      <c r="AK218" s="19">
        <f t="shared" si="23"/>
        <v>-0.70699999999999996</v>
      </c>
    </row>
    <row r="219" spans="33:37">
      <c r="AG219" s="41">
        <f t="shared" si="25"/>
        <v>217</v>
      </c>
      <c r="AH219" t="str">
        <f t="shared" si="24"/>
        <v>V</v>
      </c>
      <c r="AI219" t="str">
        <f t="shared" si="21"/>
        <v>Rg</v>
      </c>
      <c r="AJ219" s="6" t="str">
        <f t="shared" si="22"/>
        <v>2Fx</v>
      </c>
      <c r="AK219" s="19">
        <f t="shared" si="23"/>
        <v>-0.501</v>
      </c>
    </row>
    <row r="220" spans="33:37">
      <c r="AG220" s="41">
        <f t="shared" si="25"/>
        <v>218</v>
      </c>
      <c r="AH220" t="str">
        <f t="shared" si="24"/>
        <v>S</v>
      </c>
      <c r="AI220" t="str">
        <f t="shared" si="21"/>
        <v>Fx</v>
      </c>
      <c r="AJ220" s="6" t="str">
        <f t="shared" si="22"/>
        <v>RgFx</v>
      </c>
      <c r="AK220" s="19">
        <f t="shared" si="23"/>
        <v>-0.41199999999999998</v>
      </c>
    </row>
    <row r="221" spans="33:37">
      <c r="AG221" s="41">
        <f t="shared" si="25"/>
        <v>219</v>
      </c>
      <c r="AH221" t="str">
        <f t="shared" si="24"/>
        <v>T</v>
      </c>
      <c r="AI221" t="str">
        <f t="shared" si="21"/>
        <v>Fx</v>
      </c>
      <c r="AJ221" s="6" t="str">
        <f t="shared" si="22"/>
        <v>RgFx</v>
      </c>
      <c r="AK221" s="19">
        <f t="shared" si="23"/>
        <v>-0.50600000000000001</v>
      </c>
    </row>
    <row r="222" spans="33:37">
      <c r="AG222" s="41">
        <f t="shared" si="25"/>
        <v>220</v>
      </c>
      <c r="AH222" t="str">
        <f t="shared" si="24"/>
        <v>A</v>
      </c>
      <c r="AI222" t="str">
        <f t="shared" si="21"/>
        <v>Rg</v>
      </c>
      <c r="AJ222" s="6" t="str">
        <f t="shared" si="22"/>
        <v>RgFx</v>
      </c>
      <c r="AK222" s="19">
        <f t="shared" si="23"/>
        <v>-0.60899999999999999</v>
      </c>
    </row>
    <row r="223" spans="33:37">
      <c r="AG223" s="41">
        <f t="shared" si="25"/>
        <v>221</v>
      </c>
      <c r="AH223" t="str">
        <f t="shared" si="24"/>
        <v>F</v>
      </c>
      <c r="AI223" t="str">
        <f t="shared" si="21"/>
        <v>Rg</v>
      </c>
      <c r="AJ223" s="6" t="str">
        <f t="shared" si="22"/>
        <v>2Rg</v>
      </c>
      <c r="AK223" s="19">
        <f t="shared" si="23"/>
        <v>-0.93400000000000005</v>
      </c>
    </row>
    <row r="224" spans="33:37">
      <c r="AG224" s="41">
        <f t="shared" si="25"/>
        <v>222</v>
      </c>
      <c r="AH224" t="str">
        <f t="shared" si="24"/>
        <v>F</v>
      </c>
      <c r="AI224" t="str">
        <f t="shared" si="21"/>
        <v>Rg</v>
      </c>
      <c r="AJ224" s="6" t="str">
        <f t="shared" si="22"/>
        <v>2Rg</v>
      </c>
      <c r="AK224" s="19">
        <f t="shared" si="23"/>
        <v>-0.93400000000000005</v>
      </c>
    </row>
    <row r="225" spans="33:37">
      <c r="AG225" s="41">
        <f t="shared" si="25"/>
        <v>223</v>
      </c>
      <c r="AH225" t="str">
        <f t="shared" si="24"/>
        <v>H</v>
      </c>
      <c r="AI225" t="str">
        <f t="shared" si="21"/>
        <v>Rg</v>
      </c>
      <c r="AJ225" s="6" t="str">
        <f t="shared" si="22"/>
        <v>2Rg</v>
      </c>
      <c r="AK225" s="19">
        <f t="shared" si="23"/>
        <v>-0.87</v>
      </c>
    </row>
    <row r="226" spans="33:37">
      <c r="AG226" s="41">
        <f t="shared" si="25"/>
        <v>224</v>
      </c>
      <c r="AH226" t="str">
        <f t="shared" si="24"/>
        <v>Y</v>
      </c>
      <c r="AI226" t="str">
        <f t="shared" si="21"/>
        <v>Rg</v>
      </c>
      <c r="AJ226" s="6" t="str">
        <f t="shared" si="22"/>
        <v>2Rg</v>
      </c>
      <c r="AK226" s="19">
        <f t="shared" si="23"/>
        <v>-0.90400000000000003</v>
      </c>
    </row>
    <row r="227" spans="33:37">
      <c r="AG227" s="41">
        <f t="shared" si="25"/>
        <v>225</v>
      </c>
      <c r="AH227" t="str">
        <f t="shared" si="24"/>
        <v>V</v>
      </c>
      <c r="AI227" t="str">
        <f t="shared" si="21"/>
        <v>Rg</v>
      </c>
      <c r="AJ227" s="6" t="str">
        <f t="shared" si="22"/>
        <v>RgFx</v>
      </c>
      <c r="AK227" s="19">
        <f t="shared" si="23"/>
        <v>-0.67300000000000004</v>
      </c>
    </row>
    <row r="228" spans="33:37">
      <c r="AG228" s="41">
        <f t="shared" si="25"/>
        <v>226</v>
      </c>
      <c r="AH228" t="str">
        <f t="shared" si="24"/>
        <v>N</v>
      </c>
      <c r="AI228" t="str">
        <f t="shared" si="21"/>
        <v>Fx</v>
      </c>
      <c r="AJ228" s="6" t="str">
        <f t="shared" si="22"/>
        <v>2Rg</v>
      </c>
      <c r="AK228" s="19">
        <f t="shared" si="23"/>
        <v>-0.57699999999999996</v>
      </c>
    </row>
    <row r="229" spans="33:37">
      <c r="AG229" s="41">
        <f t="shared" si="25"/>
        <v>227</v>
      </c>
      <c r="AH229" t="str">
        <f t="shared" si="24"/>
        <v>M</v>
      </c>
      <c r="AI229" t="str">
        <f t="shared" si="21"/>
        <v>Rg</v>
      </c>
      <c r="AJ229" s="6" t="str">
        <f t="shared" si="22"/>
        <v>RgFx</v>
      </c>
      <c r="AK229" s="19">
        <f t="shared" si="23"/>
        <v>-0.64600000000000002</v>
      </c>
    </row>
    <row r="230" spans="33:37">
      <c r="AG230" s="41">
        <f t="shared" si="25"/>
        <v>228</v>
      </c>
      <c r="AH230" t="str">
        <f t="shared" si="24"/>
        <v>L</v>
      </c>
      <c r="AI230" t="str">
        <f t="shared" si="21"/>
        <v>Rg</v>
      </c>
      <c r="AJ230" s="6" t="str">
        <f t="shared" si="22"/>
        <v>RgFx</v>
      </c>
      <c r="AK230" s="19">
        <f t="shared" si="23"/>
        <v>-0.64200000000000002</v>
      </c>
    </row>
    <row r="231" spans="33:37">
      <c r="AG231" s="41">
        <f t="shared" si="25"/>
        <v>229</v>
      </c>
      <c r="AH231" t="str">
        <f t="shared" si="24"/>
        <v>K</v>
      </c>
      <c r="AI231" t="str">
        <f t="shared" si="21"/>
        <v>Fx</v>
      </c>
      <c r="AJ231" s="6" t="str">
        <f t="shared" si="22"/>
        <v>2Rg</v>
      </c>
      <c r="AK231" s="19">
        <f t="shared" si="23"/>
        <v>-0.24299999999999999</v>
      </c>
    </row>
    <row r="232" spans="33:37">
      <c r="AG232" s="41">
        <f t="shared" si="25"/>
        <v>230</v>
      </c>
      <c r="AH232" t="str">
        <f t="shared" si="24"/>
        <v>M</v>
      </c>
      <c r="AI232" t="str">
        <f t="shared" si="21"/>
        <v>Rg</v>
      </c>
      <c r="AJ232" s="6" t="str">
        <f t="shared" si="22"/>
        <v>2Fx</v>
      </c>
      <c r="AK232" s="19">
        <f t="shared" si="23"/>
        <v>-0.48499999999999999</v>
      </c>
    </row>
    <row r="233" spans="33:37">
      <c r="AG233" s="41">
        <f t="shared" si="25"/>
        <v>231</v>
      </c>
      <c r="AH233" t="str">
        <f t="shared" si="24"/>
        <v>G</v>
      </c>
      <c r="AI233" t="str">
        <f t="shared" si="21"/>
        <v>Fx</v>
      </c>
      <c r="AJ233" s="6" t="str">
        <f t="shared" si="22"/>
        <v>2Rg</v>
      </c>
      <c r="AK233" s="19">
        <f t="shared" si="23"/>
        <v>-0.76</v>
      </c>
    </row>
    <row r="234" spans="33:37">
      <c r="AG234" s="41">
        <f t="shared" si="25"/>
        <v>232</v>
      </c>
      <c r="AH234" t="str">
        <f t="shared" si="24"/>
        <v>M</v>
      </c>
      <c r="AI234" t="str">
        <f t="shared" si="21"/>
        <v>Rg</v>
      </c>
      <c r="AJ234" s="6" t="str">
        <f t="shared" si="22"/>
        <v>RgFx</v>
      </c>
      <c r="AK234" s="19">
        <f t="shared" si="23"/>
        <v>-0.64600000000000002</v>
      </c>
    </row>
    <row r="235" spans="33:37">
      <c r="AG235" s="41">
        <f t="shared" si="25"/>
        <v>233</v>
      </c>
      <c r="AH235" t="str">
        <f t="shared" si="24"/>
        <v>V</v>
      </c>
      <c r="AI235" t="str">
        <f t="shared" si="21"/>
        <v>Rg</v>
      </c>
      <c r="AJ235" s="6" t="str">
        <f t="shared" si="22"/>
        <v>RgFx</v>
      </c>
      <c r="AK235" s="19">
        <f t="shared" si="23"/>
        <v>-0.67300000000000004</v>
      </c>
    </row>
    <row r="236" spans="33:37">
      <c r="AG236" s="41">
        <f t="shared" si="25"/>
        <v>234</v>
      </c>
      <c r="AH236" t="str">
        <f t="shared" si="24"/>
        <v>S</v>
      </c>
      <c r="AI236" t="str">
        <f t="shared" si="21"/>
        <v>Fx</v>
      </c>
      <c r="AJ236" s="6" t="str">
        <f t="shared" si="22"/>
        <v>2Rg</v>
      </c>
      <c r="AK236" s="19">
        <f t="shared" si="23"/>
        <v>-0.64100000000000001</v>
      </c>
    </row>
    <row r="237" spans="33:37">
      <c r="AG237" s="41">
        <f t="shared" si="25"/>
        <v>235</v>
      </c>
      <c r="AH237" t="str">
        <f t="shared" si="24"/>
        <v>F</v>
      </c>
      <c r="AI237" t="str">
        <f t="shared" si="21"/>
        <v>Rg</v>
      </c>
      <c r="AJ237" s="6" t="str">
        <f t="shared" si="22"/>
        <v>2Fx</v>
      </c>
      <c r="AK237" s="19">
        <f t="shared" si="23"/>
        <v>-0.55200000000000005</v>
      </c>
    </row>
    <row r="238" spans="33:37">
      <c r="AG238" s="41">
        <f t="shared" si="25"/>
        <v>236</v>
      </c>
      <c r="AH238" t="str">
        <f t="shared" si="24"/>
        <v>R</v>
      </c>
      <c r="AI238" t="str">
        <f t="shared" si="21"/>
        <v>Fx</v>
      </c>
      <c r="AJ238" s="6" t="str">
        <f t="shared" si="22"/>
        <v>RgFx</v>
      </c>
      <c r="AK238" s="19">
        <f t="shared" si="23"/>
        <v>-0.41199999999999998</v>
      </c>
    </row>
    <row r="239" spans="33:37">
      <c r="AG239" s="41">
        <f t="shared" si="25"/>
        <v>237</v>
      </c>
      <c r="AH239" t="str">
        <f t="shared" si="24"/>
        <v>E</v>
      </c>
      <c r="AI239" t="str">
        <f t="shared" si="21"/>
        <v>Fx</v>
      </c>
      <c r="AJ239" s="6" t="str">
        <f t="shared" si="22"/>
        <v>RgFx</v>
      </c>
      <c r="AK239" s="19">
        <f t="shared" si="23"/>
        <v>-0.16800000000000001</v>
      </c>
    </row>
    <row r="240" spans="33:37">
      <c r="AG240" s="41">
        <f t="shared" si="25"/>
        <v>238</v>
      </c>
      <c r="AH240" t="str">
        <f t="shared" si="24"/>
        <v>L</v>
      </c>
      <c r="AI240" t="str">
        <f t="shared" si="21"/>
        <v>Rg</v>
      </c>
      <c r="AJ240" s="6" t="str">
        <f t="shared" si="22"/>
        <v>2Fx</v>
      </c>
      <c r="AK240" s="19">
        <f t="shared" si="23"/>
        <v>-0.42199999999999999</v>
      </c>
    </row>
    <row r="241" spans="33:37">
      <c r="AG241" s="41">
        <f t="shared" si="25"/>
        <v>239</v>
      </c>
      <c r="AH241" t="str">
        <f t="shared" si="24"/>
        <v>K</v>
      </c>
      <c r="AI241" t="str">
        <f t="shared" si="21"/>
        <v>Fx</v>
      </c>
      <c r="AJ241" s="6" t="str">
        <f t="shared" si="22"/>
        <v>RgFx</v>
      </c>
      <c r="AK241" s="19">
        <f t="shared" si="23"/>
        <v>-6.5000000000000002E-2</v>
      </c>
    </row>
    <row r="242" spans="33:37">
      <c r="AG242" s="41">
        <f t="shared" si="25"/>
        <v>240</v>
      </c>
      <c r="AH242" t="str">
        <f t="shared" si="24"/>
        <v>N</v>
      </c>
      <c r="AI242" t="str">
        <f t="shared" si="21"/>
        <v>Fx</v>
      </c>
      <c r="AJ242" s="6" t="str">
        <f t="shared" si="22"/>
        <v>RgFx</v>
      </c>
      <c r="AK242" s="19">
        <f t="shared" si="23"/>
        <v>-0.39800000000000002</v>
      </c>
    </row>
    <row r="243" spans="33:37">
      <c r="AG243" s="41">
        <f t="shared" si="25"/>
        <v>241</v>
      </c>
      <c r="AH243" t="str">
        <f t="shared" si="24"/>
        <v>H</v>
      </c>
      <c r="AI243" t="str">
        <f t="shared" si="21"/>
        <v>Rg</v>
      </c>
      <c r="AJ243" s="6" t="str">
        <f t="shared" si="22"/>
        <v>RgFx</v>
      </c>
      <c r="AK243" s="19">
        <f t="shared" si="23"/>
        <v>-0.63400000000000001</v>
      </c>
    </row>
    <row r="244" spans="33:37">
      <c r="AG244" s="41">
        <f t="shared" si="25"/>
        <v>242</v>
      </c>
      <c r="AH244" t="str">
        <f t="shared" si="24"/>
        <v>I</v>
      </c>
      <c r="AI244" t="str">
        <f t="shared" si="21"/>
        <v>Rg</v>
      </c>
      <c r="AJ244" s="6" t="str">
        <f t="shared" si="22"/>
        <v>2Rg</v>
      </c>
      <c r="AK244" s="19">
        <f t="shared" si="23"/>
        <v>-0.88900000000000001</v>
      </c>
    </row>
    <row r="245" spans="33:37">
      <c r="AG245" s="41">
        <f t="shared" si="25"/>
        <v>243</v>
      </c>
      <c r="AH245" t="str">
        <f t="shared" si="24"/>
        <v>V</v>
      </c>
      <c r="AI245" t="str">
        <f t="shared" si="21"/>
        <v>Rg</v>
      </c>
      <c r="AJ245" s="6" t="str">
        <f t="shared" si="22"/>
        <v>2Rg</v>
      </c>
      <c r="AK245" s="19">
        <f t="shared" si="23"/>
        <v>-0.84699999999999998</v>
      </c>
    </row>
    <row r="246" spans="33:37">
      <c r="AG246" s="41">
        <f t="shared" si="25"/>
        <v>244</v>
      </c>
      <c r="AH246" t="str">
        <f t="shared" si="24"/>
        <v>V</v>
      </c>
      <c r="AI246" t="str">
        <f t="shared" si="21"/>
        <v>Rg</v>
      </c>
      <c r="AJ246" s="6" t="str">
        <f t="shared" si="22"/>
        <v>2Rg</v>
      </c>
      <c r="AK246" s="19">
        <f t="shared" si="23"/>
        <v>-0.84699999999999998</v>
      </c>
    </row>
    <row r="247" spans="33:37">
      <c r="AG247" s="41">
        <f t="shared" si="25"/>
        <v>245</v>
      </c>
      <c r="AH247" t="str">
        <f t="shared" si="24"/>
        <v>C</v>
      </c>
      <c r="AI247" t="str">
        <f t="shared" si="21"/>
        <v>Rg</v>
      </c>
      <c r="AJ247" s="6" t="str">
        <f t="shared" si="22"/>
        <v>RgFx</v>
      </c>
      <c r="AK247" s="19">
        <f t="shared" si="23"/>
        <v>-0.71799999999999997</v>
      </c>
    </row>
    <row r="248" spans="33:37">
      <c r="AG248" s="41">
        <f t="shared" si="25"/>
        <v>246</v>
      </c>
      <c r="AH248" t="str">
        <f t="shared" si="24"/>
        <v>G</v>
      </c>
      <c r="AI248" t="str">
        <f t="shared" si="21"/>
        <v>Fx</v>
      </c>
      <c r="AJ248" s="6" t="str">
        <f t="shared" si="22"/>
        <v>2Rg</v>
      </c>
      <c r="AK248" s="19">
        <f t="shared" si="23"/>
        <v>-0.76</v>
      </c>
    </row>
    <row r="249" spans="33:37">
      <c r="AG249" s="41">
        <f t="shared" si="25"/>
        <v>247</v>
      </c>
      <c r="AH249" t="str">
        <f t="shared" si="24"/>
        <v>W</v>
      </c>
      <c r="AI249" t="str">
        <f t="shared" si="21"/>
        <v>Rg</v>
      </c>
      <c r="AJ249" s="6" t="str">
        <f t="shared" si="22"/>
        <v>2Fx</v>
      </c>
      <c r="AK249" s="19">
        <f t="shared" si="23"/>
        <v>-0.61399999999999999</v>
      </c>
    </row>
    <row r="250" spans="33:37">
      <c r="AG250" s="41">
        <f t="shared" si="25"/>
        <v>248</v>
      </c>
      <c r="AH250" t="str">
        <f t="shared" si="24"/>
        <v>N</v>
      </c>
      <c r="AI250" t="str">
        <f t="shared" si="21"/>
        <v>Fx</v>
      </c>
      <c r="AJ250" s="6" t="str">
        <f t="shared" si="22"/>
        <v>RgFx</v>
      </c>
      <c r="AK250" s="19">
        <f t="shared" si="23"/>
        <v>-0.39800000000000002</v>
      </c>
    </row>
    <row r="251" spans="33:37">
      <c r="AG251" s="41">
        <f t="shared" si="25"/>
        <v>249</v>
      </c>
      <c r="AH251" t="str">
        <f t="shared" si="24"/>
        <v>E</v>
      </c>
      <c r="AI251" t="str">
        <f t="shared" si="21"/>
        <v>Fx</v>
      </c>
      <c r="AJ251" s="6" t="str">
        <f t="shared" si="22"/>
        <v>2Fx</v>
      </c>
      <c r="AK251" s="19">
        <f t="shared" si="23"/>
        <v>0.189</v>
      </c>
    </row>
    <row r="252" spans="33:37">
      <c r="AG252" s="41">
        <f t="shared" si="25"/>
        <v>250</v>
      </c>
      <c r="AH252" t="str">
        <f t="shared" si="24"/>
        <v>T</v>
      </c>
      <c r="AI252" t="str">
        <f t="shared" si="21"/>
        <v>Fx</v>
      </c>
      <c r="AJ252" s="6" t="str">
        <f t="shared" si="22"/>
        <v>2Fx</v>
      </c>
      <c r="AK252" s="19">
        <f t="shared" si="23"/>
        <v>-0.39</v>
      </c>
    </row>
    <row r="253" spans="33:37">
      <c r="AG253" s="41">
        <f t="shared" si="25"/>
        <v>251</v>
      </c>
      <c r="AH253" t="str">
        <f t="shared" si="24"/>
        <v>G</v>
      </c>
      <c r="AI253" t="str">
        <f t="shared" si="21"/>
        <v>Fx</v>
      </c>
      <c r="AJ253" s="6" t="str">
        <f t="shared" si="22"/>
        <v>2Fx</v>
      </c>
      <c r="AK253" s="19">
        <f t="shared" si="23"/>
        <v>-0.24099999999999999</v>
      </c>
    </row>
    <row r="254" spans="33:37">
      <c r="AG254" s="41">
        <f t="shared" si="25"/>
        <v>252</v>
      </c>
      <c r="AH254" t="str">
        <f t="shared" si="24"/>
        <v>E</v>
      </c>
      <c r="AI254" t="str">
        <f t="shared" si="21"/>
        <v>Fx</v>
      </c>
      <c r="AJ254" s="6" t="str">
        <f t="shared" si="22"/>
        <v>RgFx</v>
      </c>
      <c r="AK254" s="19">
        <f t="shared" si="23"/>
        <v>-0.16800000000000001</v>
      </c>
    </row>
    <row r="255" spans="33:37">
      <c r="AG255" s="41">
        <f t="shared" si="25"/>
        <v>253</v>
      </c>
      <c r="AH255" t="str">
        <f t="shared" si="24"/>
        <v>V</v>
      </c>
      <c r="AI255" t="str">
        <f t="shared" ref="AI255:AI318" si="26">IFERROR(VLOOKUP(AH255,$AA$4:$AB$13,2,0),VLOOKUP(AH255,$AC$4:$AD$13,2,0))</f>
        <v>Rg</v>
      </c>
      <c r="AJ255" s="6" t="str">
        <f t="shared" ref="AJ255:AJ318" si="27">IF(AND(AI254="Rg",AI256="Rg"),"2Rg",IF(AND(AI254="Rg",AI256="Fx"),"RgFx",IF(AND(AI254="Fx",AI256="Rg"),"RgFx",IF(AND(AI254="Fx",AI256="Fx"),"2Fx",""))))</f>
        <v>RgFx</v>
      </c>
      <c r="AK255" s="19">
        <f t="shared" ref="AK255:AK318" si="28">IF(AJ255&lt;&gt;"",VLOOKUP(AJ255,mv,HLOOKUP(AH255,mh,2,0),0),"")</f>
        <v>-0.67300000000000004</v>
      </c>
    </row>
    <row r="256" spans="33:37">
      <c r="AG256" s="41">
        <f t="shared" si="25"/>
        <v>254</v>
      </c>
      <c r="AH256" t="str">
        <f t="shared" si="24"/>
        <v>M</v>
      </c>
      <c r="AI256" t="str">
        <f t="shared" si="26"/>
        <v>Rg</v>
      </c>
      <c r="AJ256" s="6" t="str">
        <f t="shared" si="27"/>
        <v>2Rg</v>
      </c>
      <c r="AK256" s="19">
        <f t="shared" si="28"/>
        <v>-0.82599999999999996</v>
      </c>
    </row>
    <row r="257" spans="33:37">
      <c r="AG257" s="41">
        <f t="shared" si="25"/>
        <v>255</v>
      </c>
      <c r="AH257" t="str">
        <f t="shared" si="24"/>
        <v>L</v>
      </c>
      <c r="AI257" t="str">
        <f t="shared" si="26"/>
        <v>Rg</v>
      </c>
      <c r="AJ257" s="6" t="str">
        <f t="shared" si="27"/>
        <v>RgFx</v>
      </c>
      <c r="AK257" s="19">
        <f t="shared" si="28"/>
        <v>-0.64200000000000002</v>
      </c>
    </row>
    <row r="258" spans="33:37">
      <c r="AG258" s="41">
        <f t="shared" si="25"/>
        <v>256</v>
      </c>
      <c r="AH258" t="str">
        <f t="shared" si="24"/>
        <v>E</v>
      </c>
      <c r="AI258" t="str">
        <f t="shared" si="26"/>
        <v>Fx</v>
      </c>
      <c r="AJ258" s="6" t="str">
        <f t="shared" si="27"/>
        <v>RgFx</v>
      </c>
      <c r="AK258" s="19">
        <f t="shared" si="28"/>
        <v>-0.16800000000000001</v>
      </c>
    </row>
    <row r="259" spans="33:37">
      <c r="AG259" s="41">
        <f t="shared" si="25"/>
        <v>257</v>
      </c>
      <c r="AH259" t="str">
        <f t="shared" si="24"/>
        <v>E</v>
      </c>
      <c r="AI259" t="str">
        <f t="shared" si="26"/>
        <v>Fx</v>
      </c>
      <c r="AJ259" s="6" t="str">
        <f t="shared" si="27"/>
        <v>RgFx</v>
      </c>
      <c r="AK259" s="19">
        <f t="shared" si="28"/>
        <v>-0.16800000000000001</v>
      </c>
    </row>
    <row r="260" spans="33:37">
      <c r="AG260" s="41">
        <f t="shared" si="25"/>
        <v>258</v>
      </c>
      <c r="AH260" t="str">
        <f t="shared" ref="AH260:AH319" si="29">IF(AG260&lt;&gt;"",MID($AE$4,AG260,1),"")</f>
        <v>I</v>
      </c>
      <c r="AI260" t="str">
        <f t="shared" si="26"/>
        <v>Rg</v>
      </c>
      <c r="AJ260" s="6" t="str">
        <f t="shared" si="27"/>
        <v>RgFx</v>
      </c>
      <c r="AK260" s="19">
        <f t="shared" si="28"/>
        <v>-0.69299999999999995</v>
      </c>
    </row>
    <row r="261" spans="33:37">
      <c r="AG261" s="41">
        <f t="shared" ref="AG261:AG324" si="30">IF(AG260&lt;$AF$4,AG260+1,"")</f>
        <v>259</v>
      </c>
      <c r="AH261" t="str">
        <f t="shared" si="29"/>
        <v>M</v>
      </c>
      <c r="AI261" t="str">
        <f t="shared" si="26"/>
        <v>Rg</v>
      </c>
      <c r="AJ261" s="6" t="str">
        <f t="shared" si="27"/>
        <v>RgFx</v>
      </c>
      <c r="AK261" s="19">
        <f t="shared" si="28"/>
        <v>-0.64600000000000002</v>
      </c>
    </row>
    <row r="262" spans="33:37">
      <c r="AG262" s="41">
        <f t="shared" si="30"/>
        <v>260</v>
      </c>
      <c r="AH262" t="str">
        <f t="shared" si="29"/>
        <v>K</v>
      </c>
      <c r="AI262" t="str">
        <f t="shared" si="26"/>
        <v>Fx</v>
      </c>
      <c r="AJ262" s="6" t="str">
        <f t="shared" si="27"/>
        <v>2Rg</v>
      </c>
      <c r="AK262" s="19">
        <f t="shared" si="28"/>
        <v>-0.24299999999999999</v>
      </c>
    </row>
    <row r="263" spans="33:37">
      <c r="AG263" s="41">
        <f t="shared" si="30"/>
        <v>261</v>
      </c>
      <c r="AH263" t="str">
        <f t="shared" si="29"/>
        <v>Y</v>
      </c>
      <c r="AI263" t="str">
        <f t="shared" si="26"/>
        <v>Rg</v>
      </c>
      <c r="AJ263" s="6" t="str">
        <f t="shared" si="27"/>
        <v>RgFx</v>
      </c>
      <c r="AK263" s="19">
        <f t="shared" si="28"/>
        <v>-0.76100000000000001</v>
      </c>
    </row>
    <row r="264" spans="33:37">
      <c r="AG264" s="41">
        <f t="shared" si="30"/>
        <v>262</v>
      </c>
      <c r="AH264" t="str">
        <f t="shared" si="29"/>
        <v>W</v>
      </c>
      <c r="AI264" t="str">
        <f t="shared" si="26"/>
        <v>Rg</v>
      </c>
      <c r="AJ264" s="6" t="str">
        <f t="shared" si="27"/>
        <v>RgFx</v>
      </c>
      <c r="AK264" s="19">
        <f t="shared" si="28"/>
        <v>-0.754</v>
      </c>
    </row>
    <row r="265" spans="33:37">
      <c r="AG265" s="41">
        <f t="shared" si="30"/>
        <v>263</v>
      </c>
      <c r="AH265" t="str">
        <f t="shared" si="29"/>
        <v>E</v>
      </c>
      <c r="AI265" t="str">
        <f t="shared" si="26"/>
        <v>Fx</v>
      </c>
      <c r="AJ265" s="6" t="str">
        <f t="shared" si="27"/>
        <v>RgFx</v>
      </c>
      <c r="AK265" s="19">
        <f t="shared" si="28"/>
        <v>-0.16800000000000001</v>
      </c>
    </row>
    <row r="266" spans="33:37">
      <c r="AG266" s="41">
        <f t="shared" si="30"/>
        <v>264</v>
      </c>
      <c r="AH266" t="str">
        <f t="shared" si="29"/>
        <v>E</v>
      </c>
      <c r="AI266" t="str">
        <f t="shared" si="26"/>
        <v>Fx</v>
      </c>
      <c r="AJ266" s="6" t="str">
        <f t="shared" si="27"/>
        <v>2Fx</v>
      </c>
      <c r="AK266" s="19">
        <f t="shared" si="28"/>
        <v>0.189</v>
      </c>
    </row>
    <row r="267" spans="33:37">
      <c r="AG267" s="41">
        <f t="shared" si="30"/>
        <v>265</v>
      </c>
      <c r="AH267" t="str">
        <f t="shared" si="29"/>
        <v>K</v>
      </c>
      <c r="AI267" t="str">
        <f t="shared" si="26"/>
        <v>Fx</v>
      </c>
      <c r="AJ267" s="6" t="str">
        <f t="shared" si="27"/>
        <v>2Fx</v>
      </c>
      <c r="AK267" s="19">
        <f t="shared" si="28"/>
        <v>0.17599999999999999</v>
      </c>
    </row>
    <row r="268" spans="33:37">
      <c r="AG268" s="41">
        <f t="shared" si="30"/>
        <v>266</v>
      </c>
      <c r="AH268" t="str">
        <f t="shared" si="29"/>
        <v>G</v>
      </c>
      <c r="AI268" t="str">
        <f t="shared" si="26"/>
        <v>Fx</v>
      </c>
      <c r="AJ268" s="6" t="str">
        <f t="shared" si="27"/>
        <v>2Fx</v>
      </c>
      <c r="AK268" s="19">
        <f t="shared" si="28"/>
        <v>-0.24099999999999999</v>
      </c>
    </row>
    <row r="269" spans="33:37">
      <c r="AG269" s="41">
        <f t="shared" si="30"/>
        <v>267</v>
      </c>
      <c r="AH269" t="str">
        <f t="shared" si="29"/>
        <v>E</v>
      </c>
      <c r="AI269" t="str">
        <f t="shared" si="26"/>
        <v>Fx</v>
      </c>
      <c r="AJ269" s="6" t="str">
        <f t="shared" si="27"/>
        <v>2Fx</v>
      </c>
      <c r="AK269" s="19">
        <f t="shared" si="28"/>
        <v>0.189</v>
      </c>
    </row>
    <row r="270" spans="33:37">
      <c r="AG270" s="41">
        <f t="shared" si="30"/>
        <v>268</v>
      </c>
      <c r="AH270" t="str">
        <f t="shared" si="29"/>
        <v>R</v>
      </c>
      <c r="AI270" t="str">
        <f t="shared" si="26"/>
        <v>Fx</v>
      </c>
      <c r="AJ270" s="6" t="str">
        <f t="shared" si="27"/>
        <v>2Fx</v>
      </c>
      <c r="AK270" s="19">
        <f t="shared" si="28"/>
        <v>-0.314</v>
      </c>
    </row>
    <row r="271" spans="33:37">
      <c r="AG271" s="41">
        <f t="shared" si="30"/>
        <v>269</v>
      </c>
      <c r="AH271" t="str">
        <f t="shared" si="29"/>
        <v>K</v>
      </c>
      <c r="AI271" t="str">
        <f t="shared" si="26"/>
        <v>Fx</v>
      </c>
      <c r="AJ271" s="6" t="str">
        <f t="shared" si="27"/>
        <v>2Fx</v>
      </c>
      <c r="AK271" s="19">
        <f t="shared" si="28"/>
        <v>0.17599999999999999</v>
      </c>
    </row>
    <row r="272" spans="33:37">
      <c r="AG272" s="41">
        <f t="shared" si="30"/>
        <v>270</v>
      </c>
      <c r="AH272" t="str">
        <f t="shared" si="29"/>
        <v>K</v>
      </c>
      <c r="AI272" t="str">
        <f t="shared" si="26"/>
        <v>Fx</v>
      </c>
      <c r="AJ272" s="6" t="str">
        <f t="shared" si="27"/>
        <v>2Fx</v>
      </c>
      <c r="AK272" s="19">
        <f t="shared" si="28"/>
        <v>0.17599999999999999</v>
      </c>
    </row>
    <row r="273" spans="33:37">
      <c r="AG273" s="41">
        <f t="shared" si="30"/>
        <v>271</v>
      </c>
      <c r="AH273" t="str">
        <f t="shared" si="29"/>
        <v>P</v>
      </c>
      <c r="AI273" t="str">
        <f t="shared" si="26"/>
        <v>Fx</v>
      </c>
      <c r="AJ273" s="6" t="str">
        <f t="shared" si="27"/>
        <v>RgFx</v>
      </c>
      <c r="AK273" s="19">
        <f t="shared" si="28"/>
        <v>-0.315</v>
      </c>
    </row>
    <row r="274" spans="33:37">
      <c r="AG274" s="41">
        <f t="shared" si="30"/>
        <v>272</v>
      </c>
      <c r="AH274" t="str">
        <f t="shared" si="29"/>
        <v>I</v>
      </c>
      <c r="AI274" t="str">
        <f t="shared" si="26"/>
        <v>Rg</v>
      </c>
      <c r="AJ274" s="6" t="str">
        <f t="shared" si="27"/>
        <v>RgFx</v>
      </c>
      <c r="AK274" s="19">
        <f t="shared" si="28"/>
        <v>-0.69299999999999995</v>
      </c>
    </row>
    <row r="275" spans="33:37">
      <c r="AG275" s="41">
        <f t="shared" si="30"/>
        <v>273</v>
      </c>
      <c r="AH275" t="str">
        <f t="shared" si="29"/>
        <v>V</v>
      </c>
      <c r="AI275" t="str">
        <f t="shared" si="26"/>
        <v>Rg</v>
      </c>
      <c r="AJ275" s="6" t="str">
        <f t="shared" si="27"/>
        <v>2Rg</v>
      </c>
      <c r="AK275" s="19">
        <f t="shared" si="28"/>
        <v>-0.84699999999999998</v>
      </c>
    </row>
    <row r="276" spans="33:37">
      <c r="AG276" s="41">
        <f t="shared" si="30"/>
        <v>274</v>
      </c>
      <c r="AH276" t="str">
        <f t="shared" si="29"/>
        <v>V</v>
      </c>
      <c r="AI276" t="str">
        <f t="shared" si="26"/>
        <v>Rg</v>
      </c>
      <c r="AJ276" s="6" t="str">
        <f t="shared" si="27"/>
        <v>2Rg</v>
      </c>
      <c r="AK276" s="19">
        <f t="shared" si="28"/>
        <v>-0.84699999999999998</v>
      </c>
    </row>
    <row r="277" spans="33:37">
      <c r="AG277" s="41">
        <f t="shared" si="30"/>
        <v>275</v>
      </c>
      <c r="AH277" t="str">
        <f t="shared" si="29"/>
        <v>V</v>
      </c>
      <c r="AI277" t="str">
        <f t="shared" si="26"/>
        <v>Rg</v>
      </c>
      <c r="AJ277" s="6" t="str">
        <f t="shared" si="27"/>
        <v>RgFx</v>
      </c>
      <c r="AK277" s="19">
        <f t="shared" si="28"/>
        <v>-0.67300000000000004</v>
      </c>
    </row>
    <row r="278" spans="33:37">
      <c r="AG278" s="41">
        <f t="shared" si="30"/>
        <v>276</v>
      </c>
      <c r="AH278" t="str">
        <f t="shared" si="29"/>
        <v>T</v>
      </c>
      <c r="AI278" t="str">
        <f t="shared" si="26"/>
        <v>Fx</v>
      </c>
      <c r="AJ278" s="6" t="str">
        <f t="shared" si="27"/>
        <v>RgFx</v>
      </c>
      <c r="AK278" s="19">
        <f t="shared" si="28"/>
        <v>-0.50600000000000001</v>
      </c>
    </row>
    <row r="279" spans="33:37">
      <c r="AG279" s="41">
        <f t="shared" si="30"/>
        <v>277</v>
      </c>
      <c r="AH279" t="str">
        <f t="shared" si="29"/>
        <v>D</v>
      </c>
      <c r="AI279" t="str">
        <f t="shared" si="26"/>
        <v>Fx</v>
      </c>
      <c r="AJ279" s="6" t="str">
        <f t="shared" si="27"/>
        <v>2Fx</v>
      </c>
      <c r="AK279" s="19">
        <f t="shared" si="28"/>
        <v>7.1999999999999995E-2</v>
      </c>
    </row>
    <row r="280" spans="33:37">
      <c r="AG280" s="41">
        <f t="shared" si="30"/>
        <v>278</v>
      </c>
      <c r="AH280" t="str">
        <f t="shared" si="29"/>
        <v>Q</v>
      </c>
      <c r="AI280" t="str">
        <f t="shared" si="26"/>
        <v>Fx</v>
      </c>
      <c r="AJ280" s="6" t="str">
        <f t="shared" si="27"/>
        <v>2Fx</v>
      </c>
      <c r="AK280" s="19">
        <f t="shared" si="28"/>
        <v>-0.158</v>
      </c>
    </row>
    <row r="281" spans="33:37">
      <c r="AG281" s="41">
        <f t="shared" si="30"/>
        <v>279</v>
      </c>
      <c r="AH281" t="str">
        <f t="shared" si="29"/>
        <v>E</v>
      </c>
      <c r="AI281" t="str">
        <f t="shared" si="26"/>
        <v>Fx</v>
      </c>
      <c r="AJ281" s="6" t="str">
        <f t="shared" si="27"/>
        <v>RgFx</v>
      </c>
      <c r="AK281" s="19">
        <f t="shared" si="28"/>
        <v>-0.16800000000000001</v>
      </c>
    </row>
    <row r="282" spans="33:37">
      <c r="AG282" s="41">
        <f t="shared" si="30"/>
        <v>280</v>
      </c>
      <c r="AH282" t="str">
        <f t="shared" si="29"/>
        <v>L</v>
      </c>
      <c r="AI282" t="str">
        <f t="shared" si="26"/>
        <v>Rg</v>
      </c>
      <c r="AJ282" s="6" t="str">
        <f t="shared" si="27"/>
        <v>2Fx</v>
      </c>
      <c r="AK282" s="19">
        <f t="shared" si="28"/>
        <v>-0.42199999999999999</v>
      </c>
    </row>
    <row r="283" spans="33:37">
      <c r="AG283" s="41">
        <f t="shared" si="30"/>
        <v>281</v>
      </c>
      <c r="AH283" t="str">
        <f t="shared" si="29"/>
        <v>E</v>
      </c>
      <c r="AI283" t="str">
        <f t="shared" si="26"/>
        <v>Fx</v>
      </c>
      <c r="AJ283" s="6" t="str">
        <f t="shared" si="27"/>
        <v>RgFx</v>
      </c>
      <c r="AK283" s="19">
        <f t="shared" si="28"/>
        <v>-0.16800000000000001</v>
      </c>
    </row>
    <row r="284" spans="33:37">
      <c r="AG284" s="41">
        <f t="shared" si="30"/>
        <v>282</v>
      </c>
      <c r="AH284" t="str">
        <f t="shared" si="29"/>
        <v>T</v>
      </c>
      <c r="AI284" t="str">
        <f t="shared" si="26"/>
        <v>Fx</v>
      </c>
      <c r="AJ284" s="6" t="str">
        <f t="shared" si="27"/>
        <v>2Fx</v>
      </c>
      <c r="AK284" s="19">
        <f t="shared" si="28"/>
        <v>-0.39</v>
      </c>
    </row>
    <row r="285" spans="33:37">
      <c r="AG285" s="41">
        <f t="shared" si="30"/>
        <v>283</v>
      </c>
      <c r="AH285" t="str">
        <f t="shared" si="29"/>
        <v>R</v>
      </c>
      <c r="AI285" t="str">
        <f t="shared" si="26"/>
        <v>Fx</v>
      </c>
      <c r="AJ285" s="6" t="str">
        <f t="shared" si="27"/>
        <v>RgFx</v>
      </c>
      <c r="AK285" s="19">
        <f t="shared" si="28"/>
        <v>-0.41199999999999998</v>
      </c>
    </row>
    <row r="286" spans="33:37">
      <c r="AG286" s="41">
        <f t="shared" si="30"/>
        <v>284</v>
      </c>
      <c r="AH286" t="str">
        <f t="shared" si="29"/>
        <v>H</v>
      </c>
      <c r="AI286" t="str">
        <f t="shared" si="26"/>
        <v>Rg</v>
      </c>
      <c r="AJ286" s="6" t="str">
        <f t="shared" si="27"/>
        <v>2Fx</v>
      </c>
      <c r="AK286" s="19">
        <f t="shared" si="28"/>
        <v>-0.48499999999999999</v>
      </c>
    </row>
    <row r="287" spans="33:37">
      <c r="AG287" s="41">
        <f t="shared" si="30"/>
        <v>285</v>
      </c>
      <c r="AH287" t="str">
        <f t="shared" si="29"/>
        <v>E</v>
      </c>
      <c r="AI287" t="str">
        <f t="shared" si="26"/>
        <v>Fx</v>
      </c>
      <c r="AJ287" s="6" t="str">
        <f t="shared" si="27"/>
        <v>2Rg</v>
      </c>
      <c r="AK287" s="19">
        <f t="shared" si="28"/>
        <v>-0.48</v>
      </c>
    </row>
    <row r="288" spans="33:37">
      <c r="AG288" s="41">
        <f t="shared" si="30"/>
        <v>286</v>
      </c>
      <c r="AH288" t="str">
        <f t="shared" si="29"/>
        <v>F</v>
      </c>
      <c r="AI288" t="str">
        <f t="shared" si="26"/>
        <v>Rg</v>
      </c>
      <c r="AJ288" s="6" t="str">
        <f t="shared" si="27"/>
        <v>RgFx</v>
      </c>
      <c r="AK288" s="19">
        <f t="shared" si="28"/>
        <v>-0.73699999999999999</v>
      </c>
    </row>
    <row r="289" spans="33:37">
      <c r="AG289" s="41">
        <f t="shared" si="30"/>
        <v>287</v>
      </c>
      <c r="AH289" t="str">
        <f t="shared" si="29"/>
        <v>Y</v>
      </c>
      <c r="AI289" t="str">
        <f t="shared" si="26"/>
        <v>Rg</v>
      </c>
      <c r="AJ289" s="6" t="str">
        <f t="shared" si="27"/>
        <v>2Rg</v>
      </c>
      <c r="AK289" s="19">
        <f t="shared" si="28"/>
        <v>-0.90400000000000003</v>
      </c>
    </row>
    <row r="290" spans="33:37">
      <c r="AG290" s="41">
        <f t="shared" si="30"/>
        <v>288</v>
      </c>
      <c r="AH290" t="str">
        <f t="shared" si="29"/>
        <v>Y</v>
      </c>
      <c r="AI290" t="str">
        <f t="shared" si="26"/>
        <v>Rg</v>
      </c>
      <c r="AJ290" s="6" t="str">
        <f t="shared" si="27"/>
        <v>RgFx</v>
      </c>
      <c r="AK290" s="19">
        <f t="shared" si="28"/>
        <v>-0.76100000000000001</v>
      </c>
    </row>
    <row r="291" spans="33:37">
      <c r="AG291" s="41">
        <f t="shared" si="30"/>
        <v>289</v>
      </c>
      <c r="AH291" t="str">
        <f t="shared" si="29"/>
        <v>K</v>
      </c>
      <c r="AI291" t="str">
        <f t="shared" si="26"/>
        <v>Fx</v>
      </c>
      <c r="AJ291" s="6" t="str">
        <f t="shared" si="27"/>
        <v>RgFx</v>
      </c>
      <c r="AK291" s="19">
        <f t="shared" si="28"/>
        <v>-6.5000000000000002E-2</v>
      </c>
    </row>
    <row r="292" spans="33:37">
      <c r="AG292" s="41">
        <f t="shared" si="30"/>
        <v>290</v>
      </c>
      <c r="AH292" t="str">
        <f t="shared" si="29"/>
        <v>K</v>
      </c>
      <c r="AI292" t="str">
        <f t="shared" si="26"/>
        <v>Fx</v>
      </c>
      <c r="AJ292" s="6" t="str">
        <f t="shared" si="27"/>
        <v>2Fx</v>
      </c>
      <c r="AK292" s="19">
        <f t="shared" si="28"/>
        <v>0.17599999999999999</v>
      </c>
    </row>
    <row r="293" spans="33:37">
      <c r="AG293" s="41">
        <f t="shared" si="30"/>
        <v>291</v>
      </c>
      <c r="AH293" t="str">
        <f t="shared" si="29"/>
        <v>G</v>
      </c>
      <c r="AI293" t="str">
        <f t="shared" si="26"/>
        <v>Fx</v>
      </c>
      <c r="AJ293" s="6" t="str">
        <f t="shared" si="27"/>
        <v>2Fx</v>
      </c>
      <c r="AK293" s="19">
        <f t="shared" si="28"/>
        <v>-0.24099999999999999</v>
      </c>
    </row>
    <row r="294" spans="33:37">
      <c r="AG294" s="41">
        <f t="shared" si="30"/>
        <v>292</v>
      </c>
      <c r="AH294" t="str">
        <f t="shared" si="29"/>
        <v>D</v>
      </c>
      <c r="AI294" t="str">
        <f t="shared" si="26"/>
        <v>Fx</v>
      </c>
      <c r="AJ294" s="6" t="str">
        <f t="shared" si="27"/>
        <v>RgFx</v>
      </c>
      <c r="AK294" s="19">
        <f t="shared" si="28"/>
        <v>-0.28499999999999998</v>
      </c>
    </row>
    <row r="295" spans="33:37">
      <c r="AG295" s="41">
        <f t="shared" si="30"/>
        <v>293</v>
      </c>
      <c r="AH295" t="str">
        <f t="shared" si="29"/>
        <v>Y</v>
      </c>
      <c r="AI295" t="str">
        <f t="shared" si="26"/>
        <v>Rg</v>
      </c>
      <c r="AJ295" s="6" t="str">
        <f t="shared" si="27"/>
        <v>RgFx</v>
      </c>
      <c r="AK295" s="19">
        <f t="shared" si="28"/>
        <v>-0.76100000000000001</v>
      </c>
    </row>
    <row r="296" spans="33:37">
      <c r="AG296" s="41">
        <f t="shared" si="30"/>
        <v>294</v>
      </c>
      <c r="AH296" t="str">
        <f t="shared" si="29"/>
        <v>V</v>
      </c>
      <c r="AI296" t="str">
        <f t="shared" si="26"/>
        <v>Rg</v>
      </c>
      <c r="AJ296" s="6" t="str">
        <f t="shared" si="27"/>
        <v>RgFx</v>
      </c>
      <c r="AK296" s="19">
        <f t="shared" si="28"/>
        <v>-0.67300000000000004</v>
      </c>
    </row>
    <row r="297" spans="33:37">
      <c r="AG297" s="41">
        <f t="shared" si="30"/>
        <v>295</v>
      </c>
      <c r="AH297" t="str">
        <f t="shared" si="29"/>
        <v>S</v>
      </c>
      <c r="AI297" t="str">
        <f t="shared" si="26"/>
        <v>Fx</v>
      </c>
      <c r="AJ297" s="6" t="str">
        <f t="shared" si="27"/>
        <v>RgFx</v>
      </c>
      <c r="AK297" s="19">
        <f t="shared" si="28"/>
        <v>-0.41199999999999998</v>
      </c>
    </row>
    <row r="298" spans="33:37">
      <c r="AG298" s="41">
        <f t="shared" si="30"/>
        <v>296</v>
      </c>
      <c r="AH298" t="str">
        <f t="shared" si="29"/>
        <v>E</v>
      </c>
      <c r="AI298" t="str">
        <f t="shared" si="26"/>
        <v>Fx</v>
      </c>
      <c r="AJ298" s="6" t="str">
        <f t="shared" si="27"/>
        <v>2Fx</v>
      </c>
      <c r="AK298" s="19">
        <f t="shared" si="28"/>
        <v>0.189</v>
      </c>
    </row>
    <row r="299" spans="33:37">
      <c r="AG299" s="41">
        <f t="shared" si="30"/>
        <v>297</v>
      </c>
      <c r="AH299" t="str">
        <f t="shared" si="29"/>
        <v>E</v>
      </c>
      <c r="AI299" t="str">
        <f t="shared" si="26"/>
        <v>Fx</v>
      </c>
      <c r="AJ299" s="6" t="str">
        <f t="shared" si="27"/>
        <v>RgFx</v>
      </c>
      <c r="AK299" s="19">
        <f t="shared" si="28"/>
        <v>-0.16800000000000001</v>
      </c>
    </row>
    <row r="300" spans="33:37">
      <c r="AG300" s="41">
        <f t="shared" si="30"/>
        <v>298</v>
      </c>
      <c r="AH300" t="str">
        <f t="shared" si="29"/>
        <v>V</v>
      </c>
      <c r="AI300" t="str">
        <f t="shared" si="26"/>
        <v>Rg</v>
      </c>
      <c r="AJ300" s="6" t="str">
        <f t="shared" si="27"/>
        <v>RgFx</v>
      </c>
      <c r="AK300" s="19">
        <f t="shared" si="28"/>
        <v>-0.67300000000000004</v>
      </c>
    </row>
    <row r="301" spans="33:37">
      <c r="AG301" s="41">
        <f t="shared" si="30"/>
        <v>299</v>
      </c>
      <c r="AH301" t="str">
        <f t="shared" si="29"/>
        <v>L</v>
      </c>
      <c r="AI301" t="str">
        <f t="shared" si="26"/>
        <v>Rg</v>
      </c>
      <c r="AJ301" s="6" t="str">
        <f t="shared" si="27"/>
        <v>RgFx</v>
      </c>
      <c r="AK301" s="19">
        <f t="shared" si="28"/>
        <v>-0.64200000000000002</v>
      </c>
    </row>
    <row r="302" spans="33:37">
      <c r="AG302" s="41">
        <f t="shared" si="30"/>
        <v>300</v>
      </c>
      <c r="AH302" t="str">
        <f t="shared" si="29"/>
        <v>K</v>
      </c>
      <c r="AI302" t="str">
        <f t="shared" si="26"/>
        <v>Fx</v>
      </c>
      <c r="AJ302" s="6" t="str">
        <f t="shared" si="27"/>
        <v>RgFx</v>
      </c>
      <c r="AK302" s="19">
        <f t="shared" si="28"/>
        <v>-6.5000000000000002E-2</v>
      </c>
    </row>
    <row r="303" spans="33:37">
      <c r="AG303" s="41">
        <f t="shared" si="30"/>
        <v>301</v>
      </c>
      <c r="AH303" t="str">
        <f t="shared" si="29"/>
        <v>N</v>
      </c>
      <c r="AI303" t="str">
        <f t="shared" si="26"/>
        <v>Fx</v>
      </c>
      <c r="AJ303" s="6" t="str">
        <f t="shared" si="27"/>
        <v>RgFx</v>
      </c>
      <c r="AK303" s="19">
        <f t="shared" si="28"/>
        <v>-0.39800000000000002</v>
      </c>
    </row>
    <row r="304" spans="33:37">
      <c r="AG304" s="41">
        <f t="shared" si="30"/>
        <v>302</v>
      </c>
      <c r="AH304" t="str">
        <f t="shared" si="29"/>
        <v>A</v>
      </c>
      <c r="AI304" t="str">
        <f t="shared" si="26"/>
        <v>Rg</v>
      </c>
      <c r="AJ304" s="6" t="str">
        <f t="shared" si="27"/>
        <v>2Fx</v>
      </c>
      <c r="AK304" s="19">
        <f t="shared" si="28"/>
        <v>-0.38700000000000001</v>
      </c>
    </row>
    <row r="305" spans="33:37">
      <c r="AG305" s="41">
        <f t="shared" si="30"/>
        <v>303</v>
      </c>
      <c r="AH305" t="str">
        <f t="shared" si="29"/>
        <v>G</v>
      </c>
      <c r="AI305" t="str">
        <f t="shared" si="26"/>
        <v>Fx</v>
      </c>
      <c r="AJ305" s="6" t="str">
        <f t="shared" si="27"/>
        <v>2Rg</v>
      </c>
      <c r="AK305" s="19">
        <f t="shared" si="28"/>
        <v>-0.76</v>
      </c>
    </row>
    <row r="306" spans="33:37">
      <c r="AG306" s="41">
        <f t="shared" si="30"/>
        <v>304</v>
      </c>
      <c r="AH306" t="str">
        <f t="shared" si="29"/>
        <v>V</v>
      </c>
      <c r="AI306" t="str">
        <f t="shared" si="26"/>
        <v>Rg</v>
      </c>
      <c r="AJ306" s="6" t="str">
        <f t="shared" si="27"/>
        <v>2Fx</v>
      </c>
      <c r="AK306" s="19">
        <f t="shared" si="28"/>
        <v>-0.501</v>
      </c>
    </row>
    <row r="307" spans="33:37">
      <c r="AG307" s="41">
        <f t="shared" si="30"/>
        <v>305</v>
      </c>
      <c r="AH307" t="str">
        <f t="shared" si="29"/>
        <v>E</v>
      </c>
      <c r="AI307" t="str">
        <f t="shared" si="26"/>
        <v>Fx</v>
      </c>
      <c r="AJ307" s="6" t="str">
        <f t="shared" si="27"/>
        <v>2Rg</v>
      </c>
      <c r="AK307" s="19">
        <f t="shared" si="28"/>
        <v>-0.48</v>
      </c>
    </row>
    <row r="308" spans="33:37">
      <c r="AG308" s="41">
        <f t="shared" si="30"/>
        <v>306</v>
      </c>
      <c r="AH308" t="str">
        <f t="shared" si="29"/>
        <v>H</v>
      </c>
      <c r="AI308" t="str">
        <f t="shared" si="26"/>
        <v>Rg</v>
      </c>
      <c r="AJ308" s="6" t="str">
        <f t="shared" si="27"/>
        <v>RgFx</v>
      </c>
      <c r="AK308" s="19">
        <f t="shared" si="28"/>
        <v>-0.63400000000000001</v>
      </c>
    </row>
    <row r="309" spans="33:37">
      <c r="AG309" s="41">
        <f t="shared" si="30"/>
        <v>307</v>
      </c>
      <c r="AH309" t="str">
        <f t="shared" si="29"/>
        <v>A</v>
      </c>
      <c r="AI309" t="str">
        <f t="shared" si="26"/>
        <v>Rg</v>
      </c>
      <c r="AJ309" s="6" t="str">
        <f t="shared" si="27"/>
        <v>RgFx</v>
      </c>
      <c r="AK309" s="19">
        <f t="shared" si="28"/>
        <v>-0.60899999999999999</v>
      </c>
    </row>
    <row r="310" spans="33:37">
      <c r="AG310" s="41">
        <f t="shared" si="30"/>
        <v>308</v>
      </c>
      <c r="AH310" t="str">
        <f t="shared" si="29"/>
        <v>D</v>
      </c>
      <c r="AI310" t="str">
        <f t="shared" si="26"/>
        <v>Fx</v>
      </c>
      <c r="AJ310" s="6" t="str">
        <f t="shared" si="27"/>
        <v>2Rg</v>
      </c>
      <c r="AK310" s="19">
        <f t="shared" si="28"/>
        <v>-0.58399999999999996</v>
      </c>
    </row>
    <row r="311" spans="33:37">
      <c r="AG311" s="41">
        <f t="shared" si="30"/>
        <v>309</v>
      </c>
      <c r="AH311" t="str">
        <f t="shared" si="29"/>
        <v>M</v>
      </c>
      <c r="AI311" t="str">
        <f t="shared" si="26"/>
        <v>Rg</v>
      </c>
      <c r="AJ311" s="6" t="str">
        <f t="shared" si="27"/>
        <v>RgFx</v>
      </c>
      <c r="AK311" s="19">
        <f t="shared" si="28"/>
        <v>-0.64600000000000002</v>
      </c>
    </row>
    <row r="312" spans="33:37">
      <c r="AG312" s="41">
        <f t="shared" si="30"/>
        <v>310</v>
      </c>
      <c r="AH312" t="str">
        <f t="shared" si="29"/>
        <v>I</v>
      </c>
      <c r="AI312" t="str">
        <f t="shared" si="26"/>
        <v>Rg</v>
      </c>
      <c r="AJ312" s="6" t="str">
        <f t="shared" si="27"/>
        <v>2Rg</v>
      </c>
      <c r="AK312" s="19">
        <f t="shared" si="28"/>
        <v>-0.88900000000000001</v>
      </c>
    </row>
    <row r="313" spans="33:37">
      <c r="AG313" s="41">
        <f t="shared" si="30"/>
        <v>311</v>
      </c>
      <c r="AH313" t="str">
        <f t="shared" si="29"/>
        <v>I</v>
      </c>
      <c r="AI313" t="str">
        <f t="shared" si="26"/>
        <v>Rg</v>
      </c>
      <c r="AJ313" s="6" t="str">
        <f t="shared" si="27"/>
        <v>2Rg</v>
      </c>
      <c r="AK313" s="19">
        <f t="shared" si="28"/>
        <v>-0.88900000000000001</v>
      </c>
    </row>
    <row r="314" spans="33:37">
      <c r="AG314" s="41">
        <f t="shared" si="30"/>
        <v>312</v>
      </c>
      <c r="AH314" t="str">
        <f t="shared" si="29"/>
        <v>I</v>
      </c>
      <c r="AI314" t="str">
        <f t="shared" si="26"/>
        <v>Rg</v>
      </c>
      <c r="AJ314" s="6" t="str">
        <f t="shared" si="27"/>
        <v>2Rg</v>
      </c>
      <c r="AK314" s="19">
        <f t="shared" si="28"/>
        <v>-0.88900000000000001</v>
      </c>
    </row>
    <row r="315" spans="33:37">
      <c r="AG315" s="41">
        <f t="shared" si="30"/>
        <v>313</v>
      </c>
      <c r="AH315" t="str">
        <f t="shared" si="29"/>
        <v>L</v>
      </c>
      <c r="AI315" t="str">
        <f t="shared" si="26"/>
        <v>Rg</v>
      </c>
      <c r="AJ315" s="6" t="str">
        <f t="shared" si="27"/>
        <v>2Rg</v>
      </c>
      <c r="AK315" s="19">
        <f t="shared" si="28"/>
        <v>-0.86499999999999999</v>
      </c>
    </row>
    <row r="316" spans="33:37">
      <c r="AG316" s="41">
        <f t="shared" si="30"/>
        <v>314</v>
      </c>
      <c r="AH316" t="str">
        <f t="shared" si="29"/>
        <v>A</v>
      </c>
      <c r="AI316" t="str">
        <f t="shared" si="26"/>
        <v>Rg</v>
      </c>
      <c r="AJ316" s="6" t="str">
        <f t="shared" si="27"/>
        <v>RgFx</v>
      </c>
      <c r="AK316" s="19">
        <f t="shared" si="28"/>
        <v>-0.60899999999999999</v>
      </c>
    </row>
    <row r="317" spans="33:37">
      <c r="AG317" s="41">
        <f t="shared" si="30"/>
        <v>315</v>
      </c>
      <c r="AH317" t="str">
        <f t="shared" si="29"/>
        <v>E</v>
      </c>
      <c r="AI317" t="str">
        <f t="shared" si="26"/>
        <v>Fx</v>
      </c>
      <c r="AJ317" s="6" t="str">
        <f t="shared" si="27"/>
        <v>RgFx</v>
      </c>
      <c r="AK317" s="19">
        <f t="shared" si="28"/>
        <v>-0.16800000000000001</v>
      </c>
    </row>
    <row r="318" spans="33:37">
      <c r="AG318" s="41">
        <f t="shared" si="30"/>
        <v>316</v>
      </c>
      <c r="AH318" t="str">
        <f t="shared" si="29"/>
        <v>K</v>
      </c>
      <c r="AI318" t="str">
        <f t="shared" si="26"/>
        <v>Fx</v>
      </c>
      <c r="AJ318" s="6" t="str">
        <f t="shared" si="27"/>
        <v>2Fx</v>
      </c>
      <c r="AK318" s="19">
        <f t="shared" si="28"/>
        <v>0.17599999999999999</v>
      </c>
    </row>
    <row r="319" spans="33:37">
      <c r="AG319" s="41">
        <f t="shared" si="30"/>
        <v>317</v>
      </c>
      <c r="AH319" t="str">
        <f t="shared" si="29"/>
        <v>G</v>
      </c>
      <c r="AI319" t="str">
        <f t="shared" ref="AI319" si="31">IFERROR(VLOOKUP(AH319,$AA$4:$AB$13,2,0),VLOOKUP(AH319,$AC$4:$AD$13,2,0))</f>
        <v>Fx</v>
      </c>
      <c r="AJ319" s="6" t="str">
        <f t="shared" ref="AJ319" si="32">IF(AND(AI318="Rg",AI320="Rg"),"2Rg",IF(AND(AI318="Rg",AI320="Fx"),"RgFx",IF(AND(AI318="Fx",AI320="Rg"),"RgFx",IF(AND(AI318="Fx",AI320="Fx"),"2Fx",""))))</f>
        <v>RgFx</v>
      </c>
      <c r="AK319" s="19">
        <f t="shared" ref="AK319" si="33">IF(AJ319&lt;&gt;"",VLOOKUP(AJ319,mv,HLOOKUP(AH319,mh,2,0),0),"")</f>
        <v>-0.58799999999999997</v>
      </c>
    </row>
    <row r="320" spans="33:37">
      <c r="AG320" s="41">
        <f t="shared" si="30"/>
        <v>318</v>
      </c>
      <c r="AH320" t="str">
        <f t="shared" ref="AH320:AH325" si="34">IF(AG320&lt;&gt;"",MID($AE$4,AG320,1),"")</f>
        <v>V</v>
      </c>
      <c r="AI320" t="str">
        <f t="shared" ref="AI320:AI325" si="35">IFERROR(VLOOKUP(AH320,$AA$4:$AB$13,2,0),VLOOKUP(AH320,$AC$4:$AD$13,2,0))</f>
        <v>Rg</v>
      </c>
      <c r="AJ320" s="6" t="str">
        <f t="shared" ref="AJ320:AJ325" si="36">IF(AND(AI319="Rg",AI321="Rg"),"2Rg",IF(AND(AI319="Rg",AI321="Fx"),"RgFx",IF(AND(AI319="Fx",AI321="Rg"),"RgFx",IF(AND(AI319="Fx",AI321="Fx"),"2Fx",""))))</f>
        <v>2Fx</v>
      </c>
      <c r="AK320" s="19">
        <f t="shared" ref="AK320:AK325" si="37">IF(AJ320&lt;&gt;"",VLOOKUP(AJ320,mv,HLOOKUP(AH320,mh,2,0),0),"")</f>
        <v>-0.501</v>
      </c>
    </row>
    <row r="321" spans="33:37">
      <c r="AG321" s="41">
        <f t="shared" si="30"/>
        <v>319</v>
      </c>
      <c r="AH321" t="str">
        <f t="shared" si="34"/>
        <v>D</v>
      </c>
      <c r="AI321" t="str">
        <f t="shared" si="35"/>
        <v>Fx</v>
      </c>
      <c r="AJ321" s="6" t="str">
        <f t="shared" si="36"/>
        <v>2Rg</v>
      </c>
      <c r="AK321" s="19">
        <f t="shared" si="37"/>
        <v>-0.58399999999999996</v>
      </c>
    </row>
    <row r="322" spans="33:37">
      <c r="AG322" s="41">
        <f t="shared" si="30"/>
        <v>320</v>
      </c>
      <c r="AH322" t="str">
        <f t="shared" si="34"/>
        <v>L</v>
      </c>
      <c r="AI322" t="str">
        <f t="shared" si="35"/>
        <v>Rg</v>
      </c>
      <c r="AJ322" s="6" t="str">
        <f t="shared" si="36"/>
        <v>2Fx</v>
      </c>
      <c r="AK322" s="19">
        <f t="shared" si="37"/>
        <v>-0.42199999999999999</v>
      </c>
    </row>
    <row r="323" spans="33:37">
      <c r="AG323" s="41">
        <f t="shared" si="30"/>
        <v>321</v>
      </c>
      <c r="AH323" t="str">
        <f t="shared" si="34"/>
        <v>T</v>
      </c>
      <c r="AI323" t="str">
        <f t="shared" si="35"/>
        <v>Fx</v>
      </c>
      <c r="AJ323" s="6" t="str">
        <f t="shared" si="36"/>
        <v>RgFx</v>
      </c>
      <c r="AK323" s="19">
        <f t="shared" si="37"/>
        <v>-0.50600000000000001</v>
      </c>
    </row>
    <row r="324" spans="33:37">
      <c r="AG324" s="41">
        <f t="shared" si="30"/>
        <v>322</v>
      </c>
      <c r="AH324" t="str">
        <f t="shared" si="34"/>
        <v>E</v>
      </c>
      <c r="AI324" t="str">
        <f t="shared" si="35"/>
        <v>Fx</v>
      </c>
      <c r="AJ324" s="6" t="str">
        <f t="shared" si="36"/>
        <v>2Fx</v>
      </c>
      <c r="AK324" s="19">
        <f t="shared" si="37"/>
        <v>0.189</v>
      </c>
    </row>
    <row r="325" spans="33:37">
      <c r="AG325" s="41">
        <f t="shared" ref="AG325:AG388" si="38">IF(AG324&lt;$AF$4,AG324+1,"")</f>
        <v>323</v>
      </c>
      <c r="AH325" t="str">
        <f t="shared" si="34"/>
        <v>D</v>
      </c>
      <c r="AI325" t="str">
        <f t="shared" si="35"/>
        <v>Fx</v>
      </c>
      <c r="AJ325" s="6" t="str">
        <f t="shared" si="36"/>
        <v>2Fx</v>
      </c>
      <c r="AK325" s="19">
        <f t="shared" si="37"/>
        <v>7.1999999999999995E-2</v>
      </c>
    </row>
    <row r="326" spans="33:37">
      <c r="AG326" s="41">
        <f t="shared" si="38"/>
        <v>324</v>
      </c>
      <c r="AH326" t="str">
        <f t="shared" ref="AH326:AH340" si="39">IF(AG326&lt;&gt;"",MID($AE$4,AG326,1),"")</f>
        <v>S</v>
      </c>
      <c r="AI326" t="str">
        <f t="shared" ref="AI326:AI340" si="40">IFERROR(VLOOKUP(AH326,$AA$4:$AB$13,2,0),VLOOKUP(AH326,$AC$4:$AD$13,2,0))</f>
        <v>Fx</v>
      </c>
      <c r="AJ326" s="6" t="str">
        <f t="shared" ref="AJ326:AJ340" si="41">IF(AND(AI325="Rg",AI327="Rg"),"2Rg",IF(AND(AI325="Rg",AI327="Fx"),"RgFx",IF(AND(AI325="Fx",AI327="Rg"),"RgFx",IF(AND(AI325="Fx",AI327="Fx"),"2Fx",""))))</f>
        <v>RgFx</v>
      </c>
      <c r="AK326" s="19">
        <f t="shared" ref="AK326:AK340" si="42">IF(AJ326&lt;&gt;"",VLOOKUP(AJ326,mv,HLOOKUP(AH326,mh,2,0),0),"")</f>
        <v>-0.41199999999999998</v>
      </c>
    </row>
    <row r="327" spans="33:37">
      <c r="AG327" s="41">
        <f t="shared" si="38"/>
        <v>325</v>
      </c>
      <c r="AH327" t="str">
        <f t="shared" si="39"/>
        <v>I</v>
      </c>
      <c r="AI327" t="str">
        <f t="shared" si="40"/>
        <v>Rg</v>
      </c>
      <c r="AJ327" s="6" t="str">
        <f t="shared" si="41"/>
        <v>2Fx</v>
      </c>
      <c r="AK327" s="19">
        <f t="shared" si="42"/>
        <v>-0.53800000000000003</v>
      </c>
    </row>
    <row r="328" spans="33:37">
      <c r="AG328" s="41">
        <f t="shared" si="38"/>
        <v>326</v>
      </c>
      <c r="AH328" t="str">
        <f t="shared" si="39"/>
        <v>D</v>
      </c>
      <c r="AI328" t="str">
        <f t="shared" si="40"/>
        <v>Fx</v>
      </c>
      <c r="AJ328" s="6" t="str">
        <f t="shared" si="41"/>
        <v>2Rg</v>
      </c>
      <c r="AK328" s="19">
        <f t="shared" si="42"/>
        <v>-0.58399999999999996</v>
      </c>
    </row>
    <row r="329" spans="33:37">
      <c r="AG329" s="41">
        <f t="shared" si="38"/>
        <v>327</v>
      </c>
      <c r="AH329" t="str">
        <f t="shared" si="39"/>
        <v>A</v>
      </c>
      <c r="AI329" t="str">
        <f t="shared" si="40"/>
        <v>Rg</v>
      </c>
      <c r="AJ329" s="6" t="str">
        <f t="shared" si="41"/>
        <v>2Fx</v>
      </c>
      <c r="AK329" s="19">
        <f t="shared" si="42"/>
        <v>-0.38700000000000001</v>
      </c>
    </row>
    <row r="330" spans="33:37">
      <c r="AG330" s="41">
        <f t="shared" si="38"/>
        <v>328</v>
      </c>
      <c r="AH330" t="str">
        <f t="shared" si="39"/>
        <v>R</v>
      </c>
      <c r="AI330" t="str">
        <f t="shared" si="40"/>
        <v>Fx</v>
      </c>
      <c r="AJ330" s="6" t="str">
        <f t="shared" si="41"/>
        <v>RgFx</v>
      </c>
      <c r="AK330" s="19">
        <f t="shared" si="42"/>
        <v>-0.41199999999999998</v>
      </c>
    </row>
    <row r="331" spans="33:37">
      <c r="AG331" s="41">
        <f t="shared" si="38"/>
        <v>329</v>
      </c>
      <c r="AH331" t="str">
        <f t="shared" si="39"/>
        <v>T</v>
      </c>
      <c r="AI331" t="str">
        <f t="shared" si="40"/>
        <v>Fx</v>
      </c>
      <c r="AJ331" s="6" t="str">
        <f t="shared" si="41"/>
        <v>RgFx</v>
      </c>
      <c r="AK331" s="19">
        <f t="shared" si="42"/>
        <v>-0.50600000000000001</v>
      </c>
    </row>
    <row r="332" spans="33:37">
      <c r="AG332" s="41">
        <f t="shared" si="38"/>
        <v>330</v>
      </c>
      <c r="AH332" t="str">
        <f t="shared" si="39"/>
        <v>I</v>
      </c>
      <c r="AI332" t="str">
        <f t="shared" si="40"/>
        <v>Rg</v>
      </c>
      <c r="AJ332" s="6" t="str">
        <f t="shared" si="41"/>
        <v>RgFx</v>
      </c>
      <c r="AK332" s="19">
        <f t="shared" si="42"/>
        <v>-0.69299999999999995</v>
      </c>
    </row>
    <row r="333" spans="33:37">
      <c r="AG333" s="41">
        <f t="shared" si="38"/>
        <v>331</v>
      </c>
      <c r="AH333" t="str">
        <f t="shared" si="39"/>
        <v>L</v>
      </c>
      <c r="AI333" t="str">
        <f t="shared" si="40"/>
        <v>Rg</v>
      </c>
      <c r="AJ333" s="6" t="str">
        <f t="shared" si="41"/>
        <v>RgFx</v>
      </c>
      <c r="AK333" s="19">
        <f t="shared" si="42"/>
        <v>-0.64200000000000002</v>
      </c>
    </row>
    <row r="334" spans="33:37">
      <c r="AG334" s="41">
        <f t="shared" si="38"/>
        <v>332</v>
      </c>
      <c r="AH334" t="str">
        <f t="shared" si="39"/>
        <v>S</v>
      </c>
      <c r="AI334" t="str">
        <f t="shared" si="40"/>
        <v>Fx</v>
      </c>
      <c r="AJ334" s="6" t="str">
        <f t="shared" si="41"/>
        <v>RgFx</v>
      </c>
      <c r="AK334" s="19">
        <f t="shared" si="42"/>
        <v>-0.41199999999999998</v>
      </c>
    </row>
    <row r="335" spans="33:37">
      <c r="AG335" s="41">
        <f t="shared" si="38"/>
        <v>333</v>
      </c>
      <c r="AH335" t="str">
        <f t="shared" si="39"/>
        <v>S</v>
      </c>
      <c r="AI335" t="str">
        <f t="shared" si="40"/>
        <v>Fx</v>
      </c>
      <c r="AJ335" s="6" t="str">
        <f t="shared" si="41"/>
        <v>RgFx</v>
      </c>
      <c r="AK335" s="19">
        <f t="shared" si="42"/>
        <v>-0.41199999999999998</v>
      </c>
    </row>
    <row r="336" spans="33:37">
      <c r="AG336" s="41">
        <f t="shared" si="38"/>
        <v>334</v>
      </c>
      <c r="AH336" t="str">
        <f t="shared" si="39"/>
        <v>M</v>
      </c>
      <c r="AI336" t="str">
        <f t="shared" si="40"/>
        <v>Rg</v>
      </c>
      <c r="AJ336" s="6" t="str">
        <f t="shared" si="41"/>
        <v>RgFx</v>
      </c>
      <c r="AK336" s="19">
        <f t="shared" si="42"/>
        <v>-0.64600000000000002</v>
      </c>
    </row>
    <row r="337" spans="33:37">
      <c r="AG337" s="41">
        <f t="shared" si="38"/>
        <v>335</v>
      </c>
      <c r="AH337" t="str">
        <f t="shared" si="39"/>
        <v>L</v>
      </c>
      <c r="AI337" t="str">
        <f t="shared" si="40"/>
        <v>Rg</v>
      </c>
      <c r="AJ337" s="6" t="str">
        <f t="shared" si="41"/>
        <v>2Rg</v>
      </c>
      <c r="AK337" s="19">
        <f t="shared" si="42"/>
        <v>-0.86499999999999999</v>
      </c>
    </row>
    <row r="338" spans="33:37">
      <c r="AG338" s="41">
        <f t="shared" si="38"/>
        <v>336</v>
      </c>
      <c r="AH338" t="str">
        <f t="shared" si="39"/>
        <v>A</v>
      </c>
      <c r="AI338" t="str">
        <f t="shared" si="40"/>
        <v>Rg</v>
      </c>
      <c r="AJ338" s="6" t="str">
        <f t="shared" si="41"/>
        <v>RgFx</v>
      </c>
      <c r="AK338" s="19">
        <f t="shared" si="42"/>
        <v>-0.60899999999999999</v>
      </c>
    </row>
    <row r="339" spans="33:37">
      <c r="AG339" s="41">
        <f t="shared" si="38"/>
        <v>337</v>
      </c>
      <c r="AH339" t="str">
        <f t="shared" si="39"/>
        <v>R</v>
      </c>
      <c r="AI339" t="str">
        <f t="shared" si="40"/>
        <v>Fx</v>
      </c>
      <c r="AJ339" s="6" t="str">
        <f t="shared" si="41"/>
        <v>RgFx</v>
      </c>
      <c r="AK339" s="19">
        <f t="shared" si="42"/>
        <v>-0.41199999999999998</v>
      </c>
    </row>
    <row r="340" spans="33:37">
      <c r="AG340" s="41">
        <f t="shared" si="38"/>
        <v>338</v>
      </c>
      <c r="AH340" t="str">
        <f t="shared" si="39"/>
        <v>D</v>
      </c>
      <c r="AI340" t="str">
        <f t="shared" si="40"/>
        <v>Fx</v>
      </c>
      <c r="AJ340" s="6" t="str">
        <f t="shared" si="41"/>
        <v>RgFx</v>
      </c>
      <c r="AK340" s="19">
        <f t="shared" si="42"/>
        <v>-0.28499999999999998</v>
      </c>
    </row>
    <row r="341" spans="33:37">
      <c r="AG341" s="41">
        <f t="shared" si="38"/>
        <v>339</v>
      </c>
      <c r="AH341" t="str">
        <f t="shared" ref="AH341:AH376" si="43">IF(AG341&lt;&gt;"",MID($AE$4,AG341,1),"")</f>
        <v>L</v>
      </c>
      <c r="AI341" t="str">
        <f t="shared" ref="AI341:AI376" si="44">IFERROR(VLOOKUP(AH341,$AA$4:$AB$13,2,0),VLOOKUP(AH341,$AC$4:$AD$13,2,0))</f>
        <v>Rg</v>
      </c>
      <c r="AJ341" s="6" t="str">
        <f t="shared" ref="AJ341:AJ376" si="45">IF(AND(AI340="Rg",AI342="Rg"),"2Rg",IF(AND(AI340="Rg",AI342="Fx"),"RgFx",IF(AND(AI340="Fx",AI342="Rg"),"RgFx",IF(AND(AI340="Fx",AI342="Fx"),"2Fx",""))))</f>
        <v>2Fx</v>
      </c>
      <c r="AK341" s="19">
        <f t="shared" ref="AK341:AK376" si="46">IF(AJ341&lt;&gt;"",VLOOKUP(AJ341,mv,HLOOKUP(AH341,mh,2,0),0),"")</f>
        <v>-0.42199999999999999</v>
      </c>
    </row>
    <row r="342" spans="33:37">
      <c r="AG342" s="41">
        <f t="shared" si="38"/>
        <v>340</v>
      </c>
      <c r="AH342" t="str">
        <f t="shared" si="43"/>
        <v>N</v>
      </c>
      <c r="AI342" t="str">
        <f t="shared" si="44"/>
        <v>Fx</v>
      </c>
      <c r="AJ342" s="6" t="str">
        <f t="shared" si="45"/>
        <v>RgFx</v>
      </c>
      <c r="AK342" s="19">
        <f t="shared" si="46"/>
        <v>-0.39800000000000002</v>
      </c>
    </row>
    <row r="343" spans="33:37">
      <c r="AG343" s="41">
        <f t="shared" si="38"/>
        <v>341</v>
      </c>
      <c r="AH343" t="str">
        <f t="shared" si="43"/>
        <v>P</v>
      </c>
      <c r="AI343" t="str">
        <f t="shared" si="44"/>
        <v>Fx</v>
      </c>
      <c r="AJ343" s="6" t="str">
        <f t="shared" si="45"/>
        <v>2Fx</v>
      </c>
      <c r="AK343" s="19">
        <f t="shared" si="46"/>
        <v>-0.12</v>
      </c>
    </row>
    <row r="344" spans="33:37">
      <c r="AG344" s="41">
        <f t="shared" si="38"/>
        <v>342</v>
      </c>
      <c r="AH344" t="str">
        <f t="shared" si="43"/>
        <v>K</v>
      </c>
      <c r="AI344" t="str">
        <f t="shared" si="44"/>
        <v>Fx</v>
      </c>
      <c r="AJ344" s="6" t="str">
        <f t="shared" si="45"/>
        <v>RgFx</v>
      </c>
      <c r="AK344" s="19">
        <f t="shared" si="46"/>
        <v>-6.5000000000000002E-2</v>
      </c>
    </row>
    <row r="345" spans="33:37">
      <c r="AG345" s="41">
        <f t="shared" si="38"/>
        <v>343</v>
      </c>
      <c r="AH345" t="str">
        <f t="shared" si="43"/>
        <v>A</v>
      </c>
      <c r="AI345" t="str">
        <f t="shared" si="44"/>
        <v>Rg</v>
      </c>
      <c r="AJ345" s="6" t="str">
        <f t="shared" si="45"/>
        <v>2Fx</v>
      </c>
      <c r="AK345" s="19">
        <f t="shared" si="46"/>
        <v>-0.38700000000000001</v>
      </c>
    </row>
    <row r="346" spans="33:37">
      <c r="AG346" s="41">
        <f t="shared" si="38"/>
        <v>344</v>
      </c>
      <c r="AH346" t="str">
        <f t="shared" si="43"/>
        <v>T</v>
      </c>
      <c r="AI346" t="str">
        <f t="shared" si="44"/>
        <v>Fx</v>
      </c>
      <c r="AJ346" s="6" t="str">
        <f t="shared" si="45"/>
        <v>2Rg</v>
      </c>
      <c r="AK346" s="19">
        <f t="shared" si="46"/>
        <v>-0.70699999999999996</v>
      </c>
    </row>
    <row r="347" spans="33:37">
      <c r="AG347" s="41">
        <f t="shared" si="38"/>
        <v>345</v>
      </c>
      <c r="AH347" t="str">
        <f t="shared" si="43"/>
        <v>I</v>
      </c>
      <c r="AI347" t="str">
        <f t="shared" si="44"/>
        <v>Rg</v>
      </c>
      <c r="AJ347" s="6" t="str">
        <f t="shared" si="45"/>
        <v>RgFx</v>
      </c>
      <c r="AK347" s="19">
        <f t="shared" si="46"/>
        <v>-0.69299999999999995</v>
      </c>
    </row>
    <row r="348" spans="33:37">
      <c r="AG348" s="41">
        <f t="shared" si="38"/>
        <v>346</v>
      </c>
      <c r="AH348" t="str">
        <f t="shared" si="43"/>
        <v>I</v>
      </c>
      <c r="AI348" t="str">
        <f t="shared" si="44"/>
        <v>Rg</v>
      </c>
      <c r="AJ348" s="6" t="str">
        <f t="shared" si="45"/>
        <v>2Rg</v>
      </c>
      <c r="AK348" s="19">
        <f t="shared" si="46"/>
        <v>-0.88900000000000001</v>
      </c>
    </row>
    <row r="349" spans="33:37">
      <c r="AG349" s="41">
        <f t="shared" si="38"/>
        <v>347</v>
      </c>
      <c r="AH349" t="str">
        <f t="shared" si="43"/>
        <v>A</v>
      </c>
      <c r="AI349" t="str">
        <f t="shared" si="44"/>
        <v>Rg</v>
      </c>
      <c r="AJ349" s="6" t="str">
        <f t="shared" si="45"/>
        <v>RgFx</v>
      </c>
      <c r="AK349" s="19">
        <f t="shared" si="46"/>
        <v>-0.60899999999999999</v>
      </c>
    </row>
    <row r="350" spans="33:37">
      <c r="AG350" s="41">
        <f t="shared" si="38"/>
        <v>348</v>
      </c>
      <c r="AH350" t="str">
        <f t="shared" si="43"/>
        <v>E</v>
      </c>
      <c r="AI350" t="str">
        <f t="shared" si="44"/>
        <v>Fx</v>
      </c>
      <c r="AJ350" s="6" t="str">
        <f t="shared" si="45"/>
        <v>2Rg</v>
      </c>
      <c r="AK350" s="19">
        <f t="shared" si="46"/>
        <v>-0.48</v>
      </c>
    </row>
    <row r="351" spans="33:37">
      <c r="AG351" s="41">
        <f t="shared" si="38"/>
        <v>349</v>
      </c>
      <c r="AH351" t="str">
        <f t="shared" si="43"/>
        <v>I</v>
      </c>
      <c r="AI351" t="str">
        <f t="shared" si="44"/>
        <v>Rg</v>
      </c>
      <c r="AJ351" s="6" t="str">
        <f t="shared" si="45"/>
        <v>RgFx</v>
      </c>
      <c r="AK351" s="19">
        <f t="shared" si="46"/>
        <v>-0.69299999999999995</v>
      </c>
    </row>
    <row r="352" spans="33:37">
      <c r="AG352" s="41">
        <f t="shared" si="38"/>
        <v>350</v>
      </c>
      <c r="AH352" t="str">
        <f t="shared" si="43"/>
        <v>L</v>
      </c>
      <c r="AI352" t="str">
        <f t="shared" si="44"/>
        <v>Rg</v>
      </c>
      <c r="AJ352" s="6" t="str">
        <f t="shared" si="45"/>
        <v>2Rg</v>
      </c>
      <c r="AK352" s="19">
        <f t="shared" si="46"/>
        <v>-0.86499999999999999</v>
      </c>
    </row>
    <row r="353" spans="33:37">
      <c r="AG353" s="41">
        <f t="shared" si="38"/>
        <v>351</v>
      </c>
      <c r="AH353" t="str">
        <f t="shared" si="43"/>
        <v>L</v>
      </c>
      <c r="AI353" t="str">
        <f t="shared" si="44"/>
        <v>Rg</v>
      </c>
      <c r="AJ353" s="6" t="str">
        <f t="shared" si="45"/>
        <v>RgFx</v>
      </c>
      <c r="AK353" s="19">
        <f t="shared" si="46"/>
        <v>-0.64200000000000002</v>
      </c>
    </row>
    <row r="354" spans="33:37">
      <c r="AG354" s="41">
        <f t="shared" si="38"/>
        <v>352</v>
      </c>
      <c r="AH354" t="str">
        <f t="shared" si="43"/>
        <v>R</v>
      </c>
      <c r="AI354" t="str">
        <f t="shared" si="44"/>
        <v>Fx</v>
      </c>
      <c r="AJ354" s="6" t="str">
        <f t="shared" si="45"/>
        <v>RgFx</v>
      </c>
      <c r="AK354" s="19">
        <f t="shared" si="46"/>
        <v>-0.41199999999999998</v>
      </c>
    </row>
    <row r="355" spans="33:37">
      <c r="AG355" s="41">
        <f t="shared" si="38"/>
        <v>353</v>
      </c>
      <c r="AH355" t="str">
        <f t="shared" si="43"/>
        <v>E</v>
      </c>
      <c r="AI355" t="str">
        <f t="shared" si="44"/>
        <v>Fx</v>
      </c>
      <c r="AJ355" s="6" t="str">
        <f t="shared" si="45"/>
        <v>2Fx</v>
      </c>
      <c r="AK355" s="19">
        <f t="shared" si="46"/>
        <v>0.189</v>
      </c>
    </row>
    <row r="356" spans="33:37">
      <c r="AG356" s="41">
        <f t="shared" si="38"/>
        <v>354</v>
      </c>
      <c r="AH356" t="str">
        <f t="shared" si="43"/>
        <v>N</v>
      </c>
      <c r="AI356" t="str">
        <f t="shared" si="44"/>
        <v>Fx</v>
      </c>
      <c r="AJ356" s="6" t="str">
        <f t="shared" si="45"/>
        <v>RgFx</v>
      </c>
      <c r="AK356" s="19">
        <f t="shared" si="46"/>
        <v>-0.39800000000000002</v>
      </c>
    </row>
    <row r="357" spans="33:37">
      <c r="AG357" s="41">
        <f t="shared" si="38"/>
        <v>355</v>
      </c>
      <c r="AH357" t="str">
        <f t="shared" si="43"/>
        <v>A</v>
      </c>
      <c r="AI357" t="str">
        <f t="shared" si="44"/>
        <v>Rg</v>
      </c>
      <c r="AJ357" s="6" t="str">
        <f t="shared" si="45"/>
        <v>2Fx</v>
      </c>
      <c r="AK357" s="19">
        <f t="shared" si="46"/>
        <v>-0.38700000000000001</v>
      </c>
    </row>
    <row r="358" spans="33:37">
      <c r="AG358" s="41">
        <f t="shared" si="38"/>
        <v>356</v>
      </c>
      <c r="AH358" t="str">
        <f t="shared" si="43"/>
        <v>K</v>
      </c>
      <c r="AI358" t="str">
        <f t="shared" si="44"/>
        <v>Fx</v>
      </c>
      <c r="AJ358" s="6" t="str">
        <f t="shared" si="45"/>
        <v>RgFx</v>
      </c>
      <c r="AK358" s="19">
        <f t="shared" si="46"/>
        <v>-6.5000000000000002E-2</v>
      </c>
    </row>
    <row r="359" spans="33:37">
      <c r="AG359" s="41">
        <f t="shared" si="38"/>
        <v>357</v>
      </c>
      <c r="AH359" t="str">
        <f t="shared" si="43"/>
        <v>T</v>
      </c>
      <c r="AI359" t="str">
        <f t="shared" si="44"/>
        <v>Fx</v>
      </c>
      <c r="AJ359" s="6" t="str">
        <f t="shared" si="45"/>
        <v>RgFx</v>
      </c>
      <c r="AK359" s="19">
        <f t="shared" si="46"/>
        <v>-0.50600000000000001</v>
      </c>
    </row>
    <row r="360" spans="33:37">
      <c r="AG360" s="41">
        <f t="shared" si="38"/>
        <v>358</v>
      </c>
      <c r="AH360" t="str">
        <f t="shared" si="43"/>
        <v>V</v>
      </c>
      <c r="AI360" t="str">
        <f t="shared" si="44"/>
        <v>Rg</v>
      </c>
      <c r="AJ360" s="6" t="str">
        <f t="shared" si="45"/>
        <v>2Fx</v>
      </c>
      <c r="AK360" s="19">
        <f t="shared" si="46"/>
        <v>-0.501</v>
      </c>
    </row>
    <row r="361" spans="33:37">
      <c r="AG361" s="41">
        <f t="shared" si="38"/>
        <v>359</v>
      </c>
      <c r="AH361" t="str">
        <f t="shared" si="43"/>
        <v>K</v>
      </c>
      <c r="AI361" t="str">
        <f t="shared" si="44"/>
        <v>Fx</v>
      </c>
      <c r="AJ361" s="6" t="str">
        <f t="shared" si="45"/>
        <v>RgFx</v>
      </c>
      <c r="AK361" s="19">
        <f t="shared" si="46"/>
        <v>-6.5000000000000002E-2</v>
      </c>
    </row>
    <row r="362" spans="33:37">
      <c r="AG362" s="41">
        <f t="shared" si="38"/>
        <v>360</v>
      </c>
      <c r="AH362" t="str">
        <f t="shared" si="43"/>
        <v>R</v>
      </c>
      <c r="AI362" t="str">
        <f t="shared" si="44"/>
        <v>Fx</v>
      </c>
      <c r="AJ362" s="6" t="str">
        <f t="shared" si="45"/>
        <v>2Fx</v>
      </c>
      <c r="AK362" s="19">
        <f t="shared" si="46"/>
        <v>-0.314</v>
      </c>
    </row>
    <row r="363" spans="33:37">
      <c r="AG363" s="41">
        <f t="shared" si="38"/>
        <v>361</v>
      </c>
      <c r="AH363" t="str">
        <f t="shared" si="43"/>
        <v>K</v>
      </c>
      <c r="AI363" t="str">
        <f t="shared" si="44"/>
        <v>Fx</v>
      </c>
      <c r="AJ363" s="6" t="str">
        <f t="shared" si="45"/>
        <v>2Fx</v>
      </c>
      <c r="AK363" s="19">
        <f t="shared" si="46"/>
        <v>0.17599999999999999</v>
      </c>
    </row>
    <row r="364" spans="33:37">
      <c r="AG364" s="41">
        <f t="shared" si="38"/>
        <v>362</v>
      </c>
      <c r="AH364" t="str">
        <f t="shared" si="43"/>
        <v>N</v>
      </c>
      <c r="AI364" t="str">
        <f t="shared" si="44"/>
        <v>Fx</v>
      </c>
      <c r="AJ364" s="6" t="str">
        <f t="shared" si="45"/>
        <v>RgFx</v>
      </c>
      <c r="AK364" s="19">
        <f t="shared" si="46"/>
        <v>-0.39800000000000002</v>
      </c>
    </row>
    <row r="365" spans="33:37">
      <c r="AG365" s="41">
        <f t="shared" si="38"/>
        <v>363</v>
      </c>
      <c r="AH365" t="str">
        <f t="shared" si="43"/>
        <v>I</v>
      </c>
      <c r="AI365" t="str">
        <f t="shared" si="44"/>
        <v>Rg</v>
      </c>
      <c r="AJ365" s="6" t="str">
        <f t="shared" si="45"/>
        <v>RgFx</v>
      </c>
      <c r="AK365" s="19">
        <f t="shared" si="46"/>
        <v>-0.69299999999999995</v>
      </c>
    </row>
    <row r="366" spans="33:37">
      <c r="AG366" s="41">
        <f t="shared" si="38"/>
        <v>364</v>
      </c>
      <c r="AH366" t="str">
        <f t="shared" si="43"/>
        <v>I</v>
      </c>
      <c r="AI366" t="str">
        <f t="shared" si="44"/>
        <v>Rg</v>
      </c>
      <c r="AJ366" s="6" t="str">
        <f t="shared" si="45"/>
        <v>RgFx</v>
      </c>
      <c r="AK366" s="19">
        <f t="shared" si="46"/>
        <v>-0.69299999999999995</v>
      </c>
    </row>
    <row r="367" spans="33:37">
      <c r="AG367" s="41">
        <f t="shared" si="38"/>
        <v>365</v>
      </c>
      <c r="AH367" t="str">
        <f t="shared" si="43"/>
        <v>D</v>
      </c>
      <c r="AI367" t="str">
        <f t="shared" si="44"/>
        <v>Fx</v>
      </c>
      <c r="AJ367" s="6" t="str">
        <f t="shared" si="45"/>
        <v>2Rg</v>
      </c>
      <c r="AK367" s="19">
        <f t="shared" si="46"/>
        <v>-0.58399999999999996</v>
      </c>
    </row>
    <row r="368" spans="33:37">
      <c r="AG368" s="41">
        <f t="shared" si="38"/>
        <v>366</v>
      </c>
      <c r="AH368" t="str">
        <f t="shared" si="43"/>
        <v>Y</v>
      </c>
      <c r="AI368" t="str">
        <f t="shared" si="44"/>
        <v>Rg</v>
      </c>
      <c r="AJ368" s="6" t="str">
        <f t="shared" si="45"/>
        <v>RgFx</v>
      </c>
      <c r="AK368" s="19">
        <f t="shared" si="46"/>
        <v>-0.76100000000000001</v>
      </c>
    </row>
    <row r="369" spans="33:37">
      <c r="AG369" s="41">
        <f t="shared" si="38"/>
        <v>367</v>
      </c>
      <c r="AH369" t="str">
        <f t="shared" si="43"/>
        <v>I</v>
      </c>
      <c r="AI369" t="str">
        <f t="shared" si="44"/>
        <v>Rg</v>
      </c>
      <c r="AJ369" s="6" t="str">
        <f t="shared" si="45"/>
        <v>2Rg</v>
      </c>
      <c r="AK369" s="19">
        <f t="shared" si="46"/>
        <v>-0.88900000000000001</v>
      </c>
    </row>
    <row r="370" spans="33:37">
      <c r="AG370" s="41">
        <f t="shared" si="38"/>
        <v>368</v>
      </c>
      <c r="AH370" t="str">
        <f t="shared" si="43"/>
        <v>I</v>
      </c>
      <c r="AI370" t="str">
        <f t="shared" si="44"/>
        <v>Rg</v>
      </c>
      <c r="AJ370" s="6" t="str">
        <f t="shared" si="45"/>
        <v>2Rg</v>
      </c>
      <c r="AK370" s="19">
        <f t="shared" si="46"/>
        <v>-0.88900000000000001</v>
      </c>
    </row>
    <row r="371" spans="33:37">
      <c r="AG371" s="41">
        <f t="shared" si="38"/>
        <v>369</v>
      </c>
      <c r="AH371" t="str">
        <f t="shared" si="43"/>
        <v>V</v>
      </c>
      <c r="AI371" t="str">
        <f t="shared" si="44"/>
        <v>Rg</v>
      </c>
      <c r="AJ371" s="6" t="str">
        <f t="shared" si="45"/>
        <v>RgFx</v>
      </c>
      <c r="AK371" s="19">
        <f t="shared" si="46"/>
        <v>-0.67300000000000004</v>
      </c>
    </row>
    <row r="372" spans="33:37">
      <c r="AG372" s="41">
        <f t="shared" si="38"/>
        <v>370</v>
      </c>
      <c r="AH372" t="str">
        <f t="shared" si="43"/>
        <v>D</v>
      </c>
      <c r="AI372" t="str">
        <f t="shared" si="44"/>
        <v>Fx</v>
      </c>
      <c r="AJ372" s="6" t="str">
        <f t="shared" si="45"/>
        <v>RgFx</v>
      </c>
      <c r="AK372" s="19">
        <f t="shared" si="46"/>
        <v>-0.28499999999999998</v>
      </c>
    </row>
    <row r="373" spans="33:37">
      <c r="AG373" s="41">
        <f t="shared" si="38"/>
        <v>371</v>
      </c>
      <c r="AH373" t="str">
        <f t="shared" si="43"/>
        <v>G</v>
      </c>
      <c r="AI373" t="str">
        <f t="shared" si="44"/>
        <v>Fx</v>
      </c>
      <c r="AJ373" s="6" t="str">
        <f t="shared" si="45"/>
        <v>2Fx</v>
      </c>
      <c r="AK373" s="19">
        <f t="shared" si="46"/>
        <v>-0.24099999999999999</v>
      </c>
    </row>
    <row r="374" spans="33:37">
      <c r="AG374" s="41">
        <f t="shared" si="38"/>
        <v>372</v>
      </c>
      <c r="AH374" t="str">
        <f t="shared" si="43"/>
        <v>E</v>
      </c>
      <c r="AI374" t="str">
        <f t="shared" si="44"/>
        <v>Fx</v>
      </c>
      <c r="AJ374" s="6" t="str">
        <f t="shared" si="45"/>
        <v>RgFx</v>
      </c>
      <c r="AK374" s="19">
        <f t="shared" si="46"/>
        <v>-0.16800000000000001</v>
      </c>
    </row>
    <row r="375" spans="33:37">
      <c r="AG375" s="41">
        <f t="shared" si="38"/>
        <v>373</v>
      </c>
      <c r="AH375" t="str">
        <f t="shared" si="43"/>
        <v>V</v>
      </c>
      <c r="AI375" t="str">
        <f t="shared" si="44"/>
        <v>Rg</v>
      </c>
      <c r="AJ375" s="6" t="str">
        <f t="shared" si="45"/>
        <v>RgFx</v>
      </c>
      <c r="AK375" s="19">
        <f t="shared" si="46"/>
        <v>-0.67300000000000004</v>
      </c>
    </row>
    <row r="376" spans="33:37">
      <c r="AG376" s="41">
        <f t="shared" si="38"/>
        <v>374</v>
      </c>
      <c r="AH376" t="str">
        <f t="shared" si="43"/>
        <v>V</v>
      </c>
      <c r="AI376" t="str">
        <f t="shared" si="44"/>
        <v>Rg</v>
      </c>
      <c r="AJ376" s="6" t="str">
        <f t="shared" si="45"/>
        <v>RgFx</v>
      </c>
      <c r="AK376" s="19">
        <f t="shared" si="46"/>
        <v>-0.67300000000000004</v>
      </c>
    </row>
    <row r="377" spans="33:37">
      <c r="AG377" s="41">
        <f t="shared" si="38"/>
        <v>375</v>
      </c>
      <c r="AH377" t="str">
        <f t="shared" ref="AH377:AH440" si="47">IF(AG377&lt;&gt;"",MID($AE$4,AG377,1),"")</f>
        <v>G</v>
      </c>
      <c r="AI377" t="str">
        <f t="shared" ref="AI377:AI440" si="48">IFERROR(VLOOKUP(AH377,$AA$4:$AB$13,2,0),VLOOKUP(AH377,$AC$4:$AD$13,2,0))</f>
        <v>Fx</v>
      </c>
      <c r="AJ377" s="6" t="str">
        <f t="shared" ref="AJ377:AJ440" si="49">IF(AND(AI376="Rg",AI378="Rg"),"2Rg",IF(AND(AI376="Rg",AI378="Fx"),"RgFx",IF(AND(AI376="Fx",AI378="Rg"),"RgFx",IF(AND(AI376="Fx",AI378="Fx"),"2Fx",""))))</f>
        <v>RgFx</v>
      </c>
      <c r="AK377" s="19">
        <f t="shared" ref="AK377:AK440" si="50">IF(AJ377&lt;&gt;"",VLOOKUP(AJ377,mv,HLOOKUP(AH377,mh,2,0),0),"")</f>
        <v>-0.58799999999999997</v>
      </c>
    </row>
    <row r="378" spans="33:37">
      <c r="AG378" s="41">
        <f t="shared" si="38"/>
        <v>376</v>
      </c>
      <c r="AH378" t="str">
        <f t="shared" si="47"/>
        <v>Q</v>
      </c>
      <c r="AI378" t="str">
        <f t="shared" si="48"/>
        <v>Fx</v>
      </c>
      <c r="AJ378" s="6" t="str">
        <f t="shared" si="49"/>
        <v>RgFx</v>
      </c>
      <c r="AK378" s="19">
        <f t="shared" si="50"/>
        <v>-0.36199999999999999</v>
      </c>
    </row>
    <row r="379" spans="33:37">
      <c r="AG379" s="41">
        <f t="shared" si="38"/>
        <v>377</v>
      </c>
      <c r="AH379" t="str">
        <f t="shared" si="47"/>
        <v>M</v>
      </c>
      <c r="AI379" t="str">
        <f t="shared" si="48"/>
        <v>Rg</v>
      </c>
      <c r="AJ379" s="6" t="str">
        <f t="shared" si="49"/>
        <v>RgFx</v>
      </c>
      <c r="AK379" s="19">
        <f t="shared" si="50"/>
        <v>-0.64600000000000002</v>
      </c>
    </row>
    <row r="380" spans="33:37">
      <c r="AG380" s="41">
        <f t="shared" si="38"/>
        <v>378</v>
      </c>
      <c r="AH380" t="str">
        <f t="shared" si="47"/>
        <v>I</v>
      </c>
      <c r="AI380" t="str">
        <f t="shared" si="48"/>
        <v>Rg</v>
      </c>
      <c r="AJ380" s="6" t="str">
        <f t="shared" si="49"/>
        <v>RgFx</v>
      </c>
      <c r="AK380" s="19">
        <f t="shared" si="50"/>
        <v>-0.69299999999999995</v>
      </c>
    </row>
    <row r="381" spans="33:37">
      <c r="AG381" s="41">
        <f t="shared" si="38"/>
        <v>379</v>
      </c>
      <c r="AH381" t="str">
        <f t="shared" si="47"/>
        <v>S</v>
      </c>
      <c r="AI381" t="str">
        <f t="shared" si="48"/>
        <v>Fx</v>
      </c>
      <c r="AJ381" s="6" t="str">
        <f t="shared" si="49"/>
        <v>RgFx</v>
      </c>
      <c r="AK381" s="19">
        <f t="shared" si="50"/>
        <v>-0.41199999999999998</v>
      </c>
    </row>
    <row r="382" spans="33:37">
      <c r="AG382" s="41">
        <f t="shared" si="38"/>
        <v>380</v>
      </c>
      <c r="AH382" t="str">
        <f t="shared" si="47"/>
        <v>N</v>
      </c>
      <c r="AI382" t="str">
        <f t="shared" si="48"/>
        <v>Fx</v>
      </c>
      <c r="AJ382" s="6" t="str">
        <f t="shared" si="49"/>
        <v>RgFx</v>
      </c>
      <c r="AK382" s="19">
        <f t="shared" si="50"/>
        <v>-0.39800000000000002</v>
      </c>
    </row>
    <row r="383" spans="33:37">
      <c r="AG383" s="41">
        <f t="shared" si="38"/>
        <v>381</v>
      </c>
      <c r="AH383" t="str">
        <f t="shared" si="47"/>
        <v>F</v>
      </c>
      <c r="AI383" t="str">
        <f t="shared" si="48"/>
        <v>Rg</v>
      </c>
      <c r="AJ383" s="6" t="str">
        <f t="shared" si="49"/>
        <v>RgFx</v>
      </c>
      <c r="AK383" s="19">
        <f t="shared" si="50"/>
        <v>-0.73699999999999999</v>
      </c>
    </row>
    <row r="384" spans="33:37">
      <c r="AG384" s="41">
        <f t="shared" si="38"/>
        <v>382</v>
      </c>
      <c r="AH384" t="str">
        <f t="shared" si="47"/>
        <v>L</v>
      </c>
      <c r="AI384" t="str">
        <f t="shared" si="48"/>
        <v>Rg</v>
      </c>
      <c r="AJ384" s="6" t="str">
        <f t="shared" si="49"/>
        <v>RgFx</v>
      </c>
      <c r="AK384" s="19">
        <f t="shared" si="50"/>
        <v>-0.64200000000000002</v>
      </c>
    </row>
    <row r="385" spans="33:37">
      <c r="AG385" s="41">
        <f t="shared" si="38"/>
        <v>383</v>
      </c>
      <c r="AH385" t="str">
        <f t="shared" si="47"/>
        <v>K</v>
      </c>
      <c r="AI385" t="str">
        <f t="shared" si="48"/>
        <v>Fx</v>
      </c>
      <c r="AJ385" s="6" t="str">
        <f t="shared" si="49"/>
        <v>RgFx</v>
      </c>
      <c r="AK385" s="19">
        <f t="shared" si="50"/>
        <v>-6.5000000000000002E-2</v>
      </c>
    </row>
    <row r="386" spans="33:37">
      <c r="AG386" s="41">
        <f t="shared" si="38"/>
        <v>384</v>
      </c>
      <c r="AH386" t="str">
        <f t="shared" si="47"/>
        <v>R</v>
      </c>
      <c r="AI386" t="str">
        <f t="shared" si="48"/>
        <v>Fx</v>
      </c>
      <c r="AJ386" s="6" t="str">
        <f t="shared" si="49"/>
        <v>2Fx</v>
      </c>
      <c r="AK386" s="19">
        <f t="shared" si="50"/>
        <v>-0.314</v>
      </c>
    </row>
    <row r="387" spans="33:37">
      <c r="AG387" s="41">
        <f t="shared" si="38"/>
        <v>385</v>
      </c>
      <c r="AH387" t="str">
        <f t="shared" si="47"/>
        <v>K</v>
      </c>
      <c r="AI387" t="str">
        <f t="shared" si="48"/>
        <v>Fx</v>
      </c>
      <c r="AJ387" s="6" t="str">
        <f t="shared" si="49"/>
        <v>2Fx</v>
      </c>
      <c r="AK387" s="19">
        <f t="shared" si="50"/>
        <v>0.17599999999999999</v>
      </c>
    </row>
    <row r="388" spans="33:37">
      <c r="AG388" s="41">
        <f t="shared" si="38"/>
        <v>386</v>
      </c>
      <c r="AH388" t="str">
        <f t="shared" si="47"/>
        <v>D</v>
      </c>
      <c r="AI388" t="str">
        <f t="shared" si="48"/>
        <v>Fx</v>
      </c>
      <c r="AJ388" s="6" t="str">
        <f t="shared" si="49"/>
        <v>RgFx</v>
      </c>
      <c r="AK388" s="19">
        <f t="shared" si="50"/>
        <v>-0.28499999999999998</v>
      </c>
    </row>
    <row r="389" spans="33:37">
      <c r="AG389" s="41">
        <f t="shared" ref="AG389:AG452" si="51">IF(AG388&lt;$AF$4,AG388+1,"")</f>
        <v>387</v>
      </c>
      <c r="AH389" t="str">
        <f t="shared" si="47"/>
        <v>I</v>
      </c>
      <c r="AI389" t="str">
        <f t="shared" si="48"/>
        <v>Rg</v>
      </c>
      <c r="AJ389" s="6" t="str">
        <f t="shared" si="49"/>
        <v>2Fx</v>
      </c>
      <c r="AK389" s="19">
        <f t="shared" si="50"/>
        <v>-0.53800000000000003</v>
      </c>
    </row>
    <row r="390" spans="33:37">
      <c r="AG390" s="41">
        <f t="shared" si="51"/>
        <v>388</v>
      </c>
      <c r="AH390" t="str">
        <f t="shared" si="47"/>
        <v>P</v>
      </c>
      <c r="AI390" t="str">
        <f t="shared" si="48"/>
        <v>Fx</v>
      </c>
      <c r="AJ390" s="6" t="str">
        <f t="shared" si="49"/>
        <v>RgFx</v>
      </c>
      <c r="AK390" s="19">
        <f t="shared" si="50"/>
        <v>-0.315</v>
      </c>
    </row>
    <row r="391" spans="33:37">
      <c r="AG391" s="41">
        <f t="shared" si="51"/>
        <v>389</v>
      </c>
      <c r="AH391" t="str">
        <f t="shared" si="47"/>
        <v>Q</v>
      </c>
      <c r="AI391" t="str">
        <f t="shared" si="48"/>
        <v>Fx</v>
      </c>
      <c r="AJ391" s="6" t="str">
        <f t="shared" si="49"/>
        <v>RgFx</v>
      </c>
      <c r="AK391" s="19">
        <f t="shared" si="50"/>
        <v>-0.36199999999999999</v>
      </c>
    </row>
    <row r="392" spans="33:37">
      <c r="AG392" s="41">
        <f t="shared" si="51"/>
        <v>390</v>
      </c>
      <c r="AH392" t="str">
        <f t="shared" si="47"/>
        <v>I</v>
      </c>
      <c r="AI392" t="str">
        <f t="shared" si="48"/>
        <v>Rg</v>
      </c>
      <c r="AJ392" s="6" t="str">
        <f t="shared" si="49"/>
        <v>RgFx</v>
      </c>
      <c r="AK392" s="19">
        <f t="shared" si="50"/>
        <v>-0.69299999999999995</v>
      </c>
    </row>
    <row r="393" spans="33:37">
      <c r="AG393" s="41">
        <f t="shared" si="51"/>
        <v>391</v>
      </c>
      <c r="AH393" t="str">
        <f t="shared" si="47"/>
        <v>L</v>
      </c>
      <c r="AI393" t="str">
        <f t="shared" si="48"/>
        <v>Rg</v>
      </c>
      <c r="AJ393" s="6" t="str">
        <f t="shared" si="49"/>
        <v>RgFx</v>
      </c>
      <c r="AK393" s="19">
        <f t="shared" si="50"/>
        <v>-0.64200000000000002</v>
      </c>
    </row>
    <row r="394" spans="33:37">
      <c r="AG394" s="41">
        <f t="shared" si="51"/>
        <v>392</v>
      </c>
      <c r="AH394" t="str">
        <f t="shared" si="47"/>
        <v>D</v>
      </c>
      <c r="AI394" t="str">
        <f t="shared" si="48"/>
        <v>Fx</v>
      </c>
      <c r="AJ394" s="6" t="str">
        <f t="shared" si="49"/>
        <v>2Rg</v>
      </c>
      <c r="AK394" s="19">
        <f t="shared" si="50"/>
        <v>-0.58399999999999996</v>
      </c>
    </row>
    <row r="395" spans="33:37">
      <c r="AG395" s="41">
        <f t="shared" si="51"/>
        <v>393</v>
      </c>
      <c r="AH395" t="str">
        <f t="shared" si="47"/>
        <v>Y</v>
      </c>
      <c r="AI395" t="str">
        <f t="shared" si="48"/>
        <v>Rg</v>
      </c>
      <c r="AJ395" s="6" t="str">
        <f t="shared" si="49"/>
        <v>RgFx</v>
      </c>
      <c r="AK395" s="19">
        <f t="shared" si="50"/>
        <v>-0.76100000000000001</v>
      </c>
    </row>
    <row r="396" spans="33:37">
      <c r="AG396" s="41">
        <f t="shared" si="51"/>
        <v>394</v>
      </c>
      <c r="AH396" t="str">
        <f t="shared" si="47"/>
        <v>F</v>
      </c>
      <c r="AI396" t="str">
        <f t="shared" si="48"/>
        <v>Rg</v>
      </c>
      <c r="AJ396" s="6" t="str">
        <f t="shared" si="49"/>
        <v>2Rg</v>
      </c>
      <c r="AK396" s="19">
        <f t="shared" si="50"/>
        <v>-0.93400000000000005</v>
      </c>
    </row>
    <row r="397" spans="33:37">
      <c r="AG397" s="41">
        <f t="shared" si="51"/>
        <v>395</v>
      </c>
      <c r="AH397" t="str">
        <f t="shared" si="47"/>
        <v>L</v>
      </c>
      <c r="AI397" t="str">
        <f t="shared" si="48"/>
        <v>Rg</v>
      </c>
      <c r="AJ397" s="6" t="str">
        <f t="shared" si="49"/>
        <v>RgFx</v>
      </c>
      <c r="AK397" s="19">
        <f t="shared" si="50"/>
        <v>-0.64200000000000002</v>
      </c>
    </row>
    <row r="398" spans="33:37">
      <c r="AG398" s="41">
        <f t="shared" si="51"/>
        <v>396</v>
      </c>
      <c r="AH398" t="str">
        <f t="shared" si="47"/>
        <v>D</v>
      </c>
      <c r="AI398" t="str">
        <f t="shared" si="48"/>
        <v>Fx</v>
      </c>
      <c r="AJ398" s="6" t="str">
        <f t="shared" si="49"/>
        <v>RgFx</v>
      </c>
      <c r="AK398" s="19">
        <f t="shared" si="50"/>
        <v>-0.28499999999999998</v>
      </c>
    </row>
    <row r="399" spans="33:37">
      <c r="AG399" s="41">
        <f t="shared" si="51"/>
        <v>397</v>
      </c>
      <c r="AH399" t="str">
        <f t="shared" si="47"/>
        <v>K</v>
      </c>
      <c r="AI399" t="str">
        <f t="shared" si="48"/>
        <v>Fx</v>
      </c>
      <c r="AJ399" s="6" t="str">
        <f t="shared" si="49"/>
        <v>RgFx</v>
      </c>
      <c r="AK399" s="19">
        <f t="shared" si="50"/>
        <v>-6.5000000000000002E-2</v>
      </c>
    </row>
    <row r="400" spans="33:37">
      <c r="AG400" s="41">
        <f t="shared" si="51"/>
        <v>398</v>
      </c>
      <c r="AH400" t="str">
        <f t="shared" si="47"/>
        <v>V</v>
      </c>
      <c r="AI400" t="str">
        <f t="shared" si="48"/>
        <v>Rg</v>
      </c>
      <c r="AJ400" s="6" t="str">
        <f t="shared" si="49"/>
        <v>2Fx</v>
      </c>
      <c r="AK400" s="19">
        <f t="shared" si="50"/>
        <v>-0.501</v>
      </c>
    </row>
    <row r="401" spans="33:37">
      <c r="AG401" s="41">
        <f t="shared" si="51"/>
        <v>399</v>
      </c>
      <c r="AH401" t="str">
        <f t="shared" si="47"/>
        <v>D</v>
      </c>
      <c r="AI401" t="str">
        <f t="shared" si="48"/>
        <v>Fx</v>
      </c>
      <c r="AJ401" s="6" t="str">
        <f t="shared" si="49"/>
        <v>2Rg</v>
      </c>
      <c r="AK401" s="19">
        <f t="shared" si="50"/>
        <v>-0.58399999999999996</v>
      </c>
    </row>
    <row r="402" spans="33:37">
      <c r="AG402" s="41">
        <f t="shared" si="51"/>
        <v>400</v>
      </c>
      <c r="AH402" t="str">
        <f t="shared" si="47"/>
        <v>Y</v>
      </c>
      <c r="AI402" t="str">
        <f t="shared" si="48"/>
        <v>Rg</v>
      </c>
      <c r="AJ402" s="6" t="str">
        <f t="shared" si="49"/>
        <v>RgFx</v>
      </c>
      <c r="AK402" s="19">
        <f t="shared" si="50"/>
        <v>-0.76100000000000001</v>
      </c>
    </row>
    <row r="403" spans="33:37">
      <c r="AG403" s="41">
        <f t="shared" si="51"/>
        <v>401</v>
      </c>
      <c r="AH403" t="str">
        <f t="shared" si="47"/>
        <v>L</v>
      </c>
      <c r="AI403" t="str">
        <f t="shared" si="48"/>
        <v>Rg</v>
      </c>
      <c r="AJ403" s="6" t="str">
        <f t="shared" si="49"/>
        <v>RgFx</v>
      </c>
      <c r="AK403" s="19">
        <f t="shared" si="50"/>
        <v>-0.64200000000000002</v>
      </c>
    </row>
    <row r="404" spans="33:37">
      <c r="AG404" s="41">
        <f t="shared" si="51"/>
        <v>402</v>
      </c>
      <c r="AH404" t="str">
        <f t="shared" si="47"/>
        <v>E</v>
      </c>
      <c r="AI404" t="str">
        <f t="shared" si="48"/>
        <v>Fx</v>
      </c>
      <c r="AJ404" s="6" t="str">
        <f t="shared" si="49"/>
        <v>2Rg</v>
      </c>
      <c r="AK404" s="19">
        <f t="shared" si="50"/>
        <v>-0.48</v>
      </c>
    </row>
    <row r="405" spans="33:37">
      <c r="AG405" s="41">
        <f t="shared" si="51"/>
        <v>403</v>
      </c>
      <c r="AH405" t="str">
        <f t="shared" si="47"/>
        <v>I</v>
      </c>
      <c r="AI405" t="str">
        <f t="shared" si="48"/>
        <v>Rg</v>
      </c>
      <c r="AJ405" s="6" t="str">
        <f t="shared" si="49"/>
        <v>2Fx</v>
      </c>
      <c r="AK405" s="19">
        <f t="shared" si="50"/>
        <v>-0.53800000000000003</v>
      </c>
    </row>
    <row r="406" spans="33:37">
      <c r="AG406" s="41">
        <f t="shared" si="51"/>
        <v>404</v>
      </c>
      <c r="AH406" t="str">
        <f t="shared" si="47"/>
        <v>K</v>
      </c>
      <c r="AI406" t="str">
        <f t="shared" si="48"/>
        <v>Fx</v>
      </c>
      <c r="AJ406" s="6" t="str">
        <f t="shared" si="49"/>
        <v>RgFx</v>
      </c>
      <c r="AK406" s="19">
        <f t="shared" si="50"/>
        <v>-6.5000000000000002E-2</v>
      </c>
    </row>
    <row r="407" spans="33:37">
      <c r="AG407" s="41">
        <f t="shared" si="51"/>
        <v>405</v>
      </c>
      <c r="AH407" t="str">
        <f t="shared" si="47"/>
        <v>P</v>
      </c>
      <c r="AI407" t="str">
        <f t="shared" si="48"/>
        <v>Fx</v>
      </c>
      <c r="AJ407" s="6" t="str">
        <f t="shared" si="49"/>
        <v>2Fx</v>
      </c>
      <c r="AK407" s="19">
        <f t="shared" si="50"/>
        <v>-0.12</v>
      </c>
    </row>
    <row r="408" spans="33:37">
      <c r="AG408" s="41">
        <f t="shared" si="51"/>
        <v>406</v>
      </c>
      <c r="AH408" t="str">
        <f t="shared" si="47"/>
        <v>K</v>
      </c>
      <c r="AI408" t="str">
        <f t="shared" si="48"/>
        <v>Fx</v>
      </c>
      <c r="AJ408" s="6" t="str">
        <f t="shared" si="49"/>
        <v>2Fx</v>
      </c>
      <c r="AK408" s="19">
        <f t="shared" si="50"/>
        <v>0.17599999999999999</v>
      </c>
    </row>
    <row r="409" spans="33:37">
      <c r="AG409" s="41">
        <f t="shared" si="51"/>
        <v>407</v>
      </c>
      <c r="AH409" t="str">
        <f t="shared" si="47"/>
        <v>E</v>
      </c>
      <c r="AI409" t="str">
        <f t="shared" si="48"/>
        <v>Fx</v>
      </c>
      <c r="AJ409" s="6" t="str">
        <f t="shared" si="49"/>
        <v>2Fx</v>
      </c>
      <c r="AK409" s="19">
        <f t="shared" si="50"/>
        <v>0.189</v>
      </c>
    </row>
    <row r="410" spans="33:37">
      <c r="AG410" s="41">
        <f t="shared" si="51"/>
        <v>408</v>
      </c>
      <c r="AH410" t="str">
        <f t="shared" si="47"/>
        <v>E</v>
      </c>
      <c r="AI410" t="str">
        <f t="shared" si="48"/>
        <v>Fx</v>
      </c>
      <c r="AJ410" s="6" t="str">
        <f t="shared" si="49"/>
        <v>2Fx</v>
      </c>
      <c r="AK410" s="19">
        <f t="shared" si="50"/>
        <v>0.189</v>
      </c>
    </row>
    <row r="411" spans="33:37">
      <c r="AG411" s="41">
        <f t="shared" si="51"/>
        <v>409</v>
      </c>
      <c r="AH411" t="str">
        <f t="shared" si="47"/>
        <v>K</v>
      </c>
      <c r="AI411" t="str">
        <f t="shared" si="48"/>
        <v>Fx</v>
      </c>
      <c r="AJ411" s="6" t="str">
        <f t="shared" si="49"/>
        <v>2Fx</v>
      </c>
      <c r="AK411" s="19">
        <f t="shared" si="50"/>
        <v>0.17599999999999999</v>
      </c>
    </row>
    <row r="412" spans="33:37">
      <c r="AG412" s="41">
        <f t="shared" si="51"/>
        <v>410</v>
      </c>
      <c r="AH412" t="str">
        <f t="shared" si="47"/>
        <v>T</v>
      </c>
      <c r="AI412" t="str">
        <f t="shared" si="48"/>
        <v>Fx</v>
      </c>
      <c r="AJ412" s="6" t="str">
        <f t="shared" si="49"/>
        <v>RgFx</v>
      </c>
      <c r="AK412" s="19">
        <f t="shared" si="50"/>
        <v>-0.50600000000000001</v>
      </c>
    </row>
    <row r="413" spans="33:37">
      <c r="AG413" s="41">
        <f t="shared" si="51"/>
        <v>411</v>
      </c>
      <c r="AH413" t="str">
        <f t="shared" si="47"/>
        <v>I</v>
      </c>
      <c r="AI413" t="str">
        <f t="shared" si="48"/>
        <v>Rg</v>
      </c>
      <c r="AJ413" s="6" t="str">
        <f t="shared" si="49"/>
        <v>2Fx</v>
      </c>
      <c r="AK413" s="19">
        <f t="shared" si="50"/>
        <v>-0.53800000000000003</v>
      </c>
    </row>
    <row r="414" spans="33:37">
      <c r="AG414" s="41">
        <f t="shared" si="51"/>
        <v>412</v>
      </c>
      <c r="AH414" t="str">
        <f t="shared" si="47"/>
        <v>R</v>
      </c>
      <c r="AI414" t="str">
        <f t="shared" si="48"/>
        <v>Fx</v>
      </c>
      <c r="AJ414" s="6" t="str">
        <f t="shared" si="49"/>
        <v>RgFx</v>
      </c>
      <c r="AK414" s="19">
        <f t="shared" si="50"/>
        <v>-0.41199999999999998</v>
      </c>
    </row>
    <row r="415" spans="33:37">
      <c r="AG415" s="41">
        <f t="shared" si="51"/>
        <v>413</v>
      </c>
      <c r="AH415" t="str">
        <f t="shared" si="47"/>
        <v>E</v>
      </c>
      <c r="AI415" t="str">
        <f t="shared" si="48"/>
        <v>Fx</v>
      </c>
      <c r="AJ415" s="6" t="str">
        <f t="shared" si="49"/>
        <v>RgFx</v>
      </c>
      <c r="AK415" s="19">
        <f t="shared" si="50"/>
        <v>-0.16800000000000001</v>
      </c>
    </row>
    <row r="416" spans="33:37">
      <c r="AG416" s="41">
        <f t="shared" si="51"/>
        <v>414</v>
      </c>
      <c r="AH416" t="str">
        <f t="shared" si="47"/>
        <v>I</v>
      </c>
      <c r="AI416" t="str">
        <f t="shared" si="48"/>
        <v>Rg</v>
      </c>
      <c r="AJ416" s="6" t="str">
        <f t="shared" si="49"/>
        <v>RgFx</v>
      </c>
      <c r="AK416" s="19">
        <f t="shared" si="50"/>
        <v>-0.69299999999999995</v>
      </c>
    </row>
    <row r="417" spans="33:37">
      <c r="AG417" s="41">
        <f t="shared" si="51"/>
        <v>415</v>
      </c>
      <c r="AH417" t="str">
        <f t="shared" si="47"/>
        <v>I</v>
      </c>
      <c r="AI417" t="str">
        <f t="shared" si="48"/>
        <v>Rg</v>
      </c>
      <c r="AJ417" s="6" t="str">
        <f t="shared" si="49"/>
        <v>RgFx</v>
      </c>
      <c r="AK417" s="19">
        <f t="shared" si="50"/>
        <v>-0.69299999999999995</v>
      </c>
    </row>
    <row r="418" spans="33:37">
      <c r="AG418" s="41">
        <f t="shared" si="51"/>
        <v>416</v>
      </c>
      <c r="AH418" t="str">
        <f t="shared" si="47"/>
        <v>Q</v>
      </c>
      <c r="AI418" t="str">
        <f t="shared" si="48"/>
        <v>Fx</v>
      </c>
      <c r="AJ418" s="6" t="str">
        <f t="shared" si="49"/>
        <v>RgFx</v>
      </c>
      <c r="AK418" s="19">
        <f t="shared" si="50"/>
        <v>-0.36199999999999999</v>
      </c>
    </row>
    <row r="419" spans="33:37">
      <c r="AG419" s="41">
        <f t="shared" si="51"/>
        <v>417</v>
      </c>
      <c r="AH419" t="str">
        <f t="shared" si="47"/>
        <v>E</v>
      </c>
      <c r="AI419" t="str">
        <f t="shared" si="48"/>
        <v>Fx</v>
      </c>
      <c r="AJ419" s="6" t="str">
        <f t="shared" si="49"/>
        <v>RgFx</v>
      </c>
      <c r="AK419" s="19">
        <f t="shared" si="50"/>
        <v>-0.16800000000000001</v>
      </c>
    </row>
    <row r="420" spans="33:37">
      <c r="AG420" s="41">
        <f t="shared" si="51"/>
        <v>418</v>
      </c>
      <c r="AH420" t="str">
        <f t="shared" si="47"/>
        <v>F</v>
      </c>
      <c r="AI420" t="str">
        <f t="shared" si="48"/>
        <v>Rg</v>
      </c>
      <c r="AJ420" s="6" t="str">
        <f t="shared" si="49"/>
        <v>2Fx</v>
      </c>
      <c r="AK420" s="19">
        <f t="shared" si="50"/>
        <v>-0.55200000000000005</v>
      </c>
    </row>
    <row r="421" spans="33:37">
      <c r="AG421" s="41">
        <f t="shared" si="51"/>
        <v>419</v>
      </c>
      <c r="AH421" t="str">
        <f t="shared" si="47"/>
        <v>G</v>
      </c>
      <c r="AI421" t="str">
        <f t="shared" si="48"/>
        <v>Fx</v>
      </c>
      <c r="AJ421" s="6" t="str">
        <f t="shared" si="49"/>
        <v>RgFx</v>
      </c>
      <c r="AK421" s="19">
        <f t="shared" si="50"/>
        <v>-0.58799999999999997</v>
      </c>
    </row>
    <row r="422" spans="33:37">
      <c r="AG422" s="41">
        <f t="shared" si="51"/>
        <v>420</v>
      </c>
      <c r="AH422" t="str">
        <f t="shared" si="47"/>
        <v>K</v>
      </c>
      <c r="AI422" t="str">
        <f t="shared" si="48"/>
        <v>Fx</v>
      </c>
      <c r="AJ422" s="6" t="str">
        <f t="shared" si="49"/>
        <v>2Fx</v>
      </c>
      <c r="AK422" s="19">
        <f t="shared" si="50"/>
        <v>0.17599999999999999</v>
      </c>
    </row>
    <row r="423" spans="33:37">
      <c r="AG423" s="41">
        <f t="shared" si="51"/>
        <v>421</v>
      </c>
      <c r="AH423" t="str">
        <f t="shared" si="47"/>
        <v>K</v>
      </c>
      <c r="AI423" t="str">
        <f t="shared" si="48"/>
        <v>Fx</v>
      </c>
      <c r="AJ423" s="6" t="str">
        <f t="shared" si="49"/>
        <v>2Fx</v>
      </c>
      <c r="AK423" s="19">
        <f t="shared" si="50"/>
        <v>0.17599999999999999</v>
      </c>
    </row>
    <row r="424" spans="33:37">
      <c r="AG424" s="41">
        <f t="shared" si="51"/>
        <v>422</v>
      </c>
      <c r="AH424" t="str">
        <f t="shared" si="47"/>
        <v>G</v>
      </c>
      <c r="AI424" t="str">
        <f t="shared" si="48"/>
        <v>Fx</v>
      </c>
      <c r="AJ424" s="6" t="str">
        <f t="shared" si="49"/>
        <v>2Fx</v>
      </c>
      <c r="AK424" s="19">
        <f t="shared" si="50"/>
        <v>-0.24099999999999999</v>
      </c>
    </row>
    <row r="425" spans="33:37">
      <c r="AG425" s="41">
        <f t="shared" si="51"/>
        <v>423</v>
      </c>
      <c r="AH425" t="str">
        <f t="shared" si="47"/>
        <v>K</v>
      </c>
      <c r="AI425" t="str">
        <f t="shared" si="48"/>
        <v>Fx</v>
      </c>
      <c r="AJ425" s="6" t="str">
        <f t="shared" si="49"/>
        <v>RgFx</v>
      </c>
      <c r="AK425" s="19">
        <f t="shared" si="50"/>
        <v>-6.5000000000000002E-2</v>
      </c>
    </row>
    <row r="426" spans="33:37">
      <c r="AG426" s="41">
        <f t="shared" si="51"/>
        <v>424</v>
      </c>
      <c r="AH426" t="str">
        <f t="shared" si="47"/>
        <v>L</v>
      </c>
      <c r="AI426" t="str">
        <f t="shared" si="48"/>
        <v>Rg</v>
      </c>
      <c r="AJ426" s="6" t="str">
        <f t="shared" si="49"/>
        <v>RgFx</v>
      </c>
      <c r="AK426" s="19">
        <f t="shared" si="50"/>
        <v>-0.64200000000000002</v>
      </c>
    </row>
    <row r="427" spans="33:37">
      <c r="AG427" s="41">
        <f t="shared" si="51"/>
        <v>425</v>
      </c>
      <c r="AH427" t="str">
        <f t="shared" si="47"/>
        <v>L</v>
      </c>
      <c r="AI427" t="str">
        <f t="shared" si="48"/>
        <v>Rg</v>
      </c>
      <c r="AJ427" s="6" t="str">
        <f t="shared" si="49"/>
        <v>RgFx</v>
      </c>
      <c r="AK427" s="19">
        <f t="shared" si="50"/>
        <v>-0.64200000000000002</v>
      </c>
    </row>
    <row r="428" spans="33:37">
      <c r="AG428" s="41">
        <f t="shared" si="51"/>
        <v>426</v>
      </c>
      <c r="AH428" t="str">
        <f t="shared" si="47"/>
        <v>G</v>
      </c>
      <c r="AI428" t="str">
        <f t="shared" si="48"/>
        <v>Fx</v>
      </c>
      <c r="AJ428" s="6" t="str">
        <f t="shared" si="49"/>
        <v>2Rg</v>
      </c>
      <c r="AK428" s="19">
        <f t="shared" si="50"/>
        <v>-0.76</v>
      </c>
    </row>
    <row r="429" spans="33:37">
      <c r="AG429" s="41">
        <f t="shared" si="51"/>
        <v>427</v>
      </c>
      <c r="AH429" t="str">
        <f t="shared" si="47"/>
        <v>I</v>
      </c>
      <c r="AI429" t="str">
        <f t="shared" si="48"/>
        <v>Rg</v>
      </c>
      <c r="AJ429" s="6" t="str">
        <f t="shared" si="49"/>
        <v>2Fx</v>
      </c>
      <c r="AK429" s="19">
        <f t="shared" si="50"/>
        <v>-0.53800000000000003</v>
      </c>
    </row>
    <row r="430" spans="33:37">
      <c r="AG430" s="41">
        <f t="shared" si="51"/>
        <v>428</v>
      </c>
      <c r="AH430" t="str">
        <f t="shared" si="47"/>
        <v>K</v>
      </c>
      <c r="AI430" t="str">
        <f t="shared" si="48"/>
        <v>Fx</v>
      </c>
      <c r="AJ430" s="6" t="str">
        <f t="shared" si="49"/>
        <v>RgFx</v>
      </c>
      <c r="AK430" s="19">
        <f t="shared" si="50"/>
        <v>-6.5000000000000002E-2</v>
      </c>
    </row>
    <row r="431" spans="33:37">
      <c r="AG431" s="41">
        <f t="shared" si="51"/>
        <v>429</v>
      </c>
      <c r="AH431" t="str">
        <f t="shared" si="47"/>
        <v>R</v>
      </c>
      <c r="AI431" t="str">
        <f t="shared" si="48"/>
        <v>Fx</v>
      </c>
      <c r="AJ431" s="6" t="str">
        <f t="shared" si="49"/>
        <v>2Fx</v>
      </c>
      <c r="AK431" s="19">
        <f t="shared" si="50"/>
        <v>-0.314</v>
      </c>
    </row>
    <row r="432" spans="33:37">
      <c r="AG432" s="41">
        <f t="shared" si="51"/>
        <v>430</v>
      </c>
      <c r="AH432" t="str">
        <f t="shared" si="47"/>
        <v>G</v>
      </c>
      <c r="AI432" t="str">
        <f t="shared" si="48"/>
        <v>Fx</v>
      </c>
      <c r="AJ432" s="6" t="str">
        <f t="shared" si="49"/>
        <v>2Fx</v>
      </c>
      <c r="AK432" s="19">
        <f t="shared" si="50"/>
        <v>-0.24099999999999999</v>
      </c>
    </row>
    <row r="433" spans="33:37">
      <c r="AG433" s="41">
        <f t="shared" si="51"/>
        <v>431</v>
      </c>
      <c r="AH433" t="str">
        <f t="shared" si="47"/>
        <v>R</v>
      </c>
      <c r="AI433" t="str">
        <f t="shared" si="48"/>
        <v>Fx</v>
      </c>
      <c r="AJ433" s="6" t="str">
        <f t="shared" si="49"/>
        <v>2Fx</v>
      </c>
      <c r="AK433" s="19">
        <f t="shared" si="50"/>
        <v>-0.314</v>
      </c>
    </row>
    <row r="434" spans="33:37">
      <c r="AG434" s="41">
        <f t="shared" si="51"/>
        <v>432</v>
      </c>
      <c r="AH434" t="str">
        <f t="shared" si="47"/>
        <v>D</v>
      </c>
      <c r="AI434" t="str">
        <f t="shared" si="48"/>
        <v>Fx</v>
      </c>
      <c r="AJ434" s="6" t="str">
        <f t="shared" si="49"/>
        <v>RgFx</v>
      </c>
      <c r="AK434" s="19">
        <f t="shared" si="50"/>
        <v>-0.28499999999999998</v>
      </c>
    </row>
    <row r="435" spans="33:37">
      <c r="AG435" s="41">
        <f t="shared" si="51"/>
        <v>433</v>
      </c>
      <c r="AH435" t="str">
        <f t="shared" si="47"/>
        <v>F</v>
      </c>
      <c r="AI435" t="str">
        <f t="shared" si="48"/>
        <v>Rg</v>
      </c>
      <c r="AJ435" s="6" t="str">
        <f t="shared" si="49"/>
        <v>RgFx</v>
      </c>
      <c r="AK435" s="19">
        <f t="shared" si="50"/>
        <v>-0.73699999999999999</v>
      </c>
    </row>
    <row r="436" spans="33:37">
      <c r="AG436" s="41">
        <f t="shared" si="51"/>
        <v>434</v>
      </c>
      <c r="AH436" t="str">
        <f t="shared" si="47"/>
        <v>I</v>
      </c>
      <c r="AI436" t="str">
        <f t="shared" si="48"/>
        <v>Rg</v>
      </c>
      <c r="AJ436" s="6" t="str">
        <f t="shared" si="49"/>
        <v>2Rg</v>
      </c>
      <c r="AK436" s="19">
        <f t="shared" si="50"/>
        <v>-0.88900000000000001</v>
      </c>
    </row>
    <row r="437" spans="33:37">
      <c r="AG437" s="41">
        <f t="shared" si="51"/>
        <v>435</v>
      </c>
      <c r="AH437" t="str">
        <f t="shared" si="47"/>
        <v>F</v>
      </c>
      <c r="AI437" t="str">
        <f t="shared" si="48"/>
        <v>Rg</v>
      </c>
      <c r="AJ437" s="6" t="str">
        <f t="shared" si="49"/>
        <v>2Rg</v>
      </c>
      <c r="AK437" s="19">
        <f t="shared" si="50"/>
        <v>-0.93400000000000005</v>
      </c>
    </row>
    <row r="438" spans="33:37">
      <c r="AG438" s="41">
        <f t="shared" si="51"/>
        <v>436</v>
      </c>
      <c r="AH438" t="str">
        <f t="shared" si="47"/>
        <v>L</v>
      </c>
      <c r="AI438" t="str">
        <f t="shared" si="48"/>
        <v>Rg</v>
      </c>
      <c r="AJ438" s="6" t="str">
        <f t="shared" si="49"/>
        <v>RgFx</v>
      </c>
      <c r="AK438" s="19">
        <f t="shared" si="50"/>
        <v>-0.64200000000000002</v>
      </c>
    </row>
    <row r="439" spans="33:37">
      <c r="AG439" s="41">
        <f t="shared" si="51"/>
        <v>437</v>
      </c>
      <c r="AH439" t="str">
        <f t="shared" si="47"/>
        <v>P</v>
      </c>
      <c r="AI439" t="str">
        <f t="shared" si="48"/>
        <v>Fx</v>
      </c>
      <c r="AJ439" s="6" t="str">
        <f t="shared" si="49"/>
        <v>RgFx</v>
      </c>
      <c r="AK439" s="19">
        <f t="shared" si="50"/>
        <v>-0.315</v>
      </c>
    </row>
    <row r="440" spans="33:37">
      <c r="AG440" s="41">
        <f t="shared" si="51"/>
        <v>438</v>
      </c>
      <c r="AH440" t="str">
        <f t="shared" si="47"/>
        <v>D</v>
      </c>
      <c r="AI440" t="str">
        <f t="shared" si="48"/>
        <v>Fx</v>
      </c>
      <c r="AJ440" s="6" t="str">
        <f t="shared" si="49"/>
        <v>RgFx</v>
      </c>
      <c r="AK440" s="19">
        <f t="shared" si="50"/>
        <v>-0.28499999999999998</v>
      </c>
    </row>
    <row r="441" spans="33:37">
      <c r="AG441" s="41">
        <f t="shared" si="51"/>
        <v>439</v>
      </c>
      <c r="AH441" t="str">
        <f t="shared" ref="AH441:AH504" si="52">IF(AG441&lt;&gt;"",MID($AE$4,AG441,1),"")</f>
        <v>L</v>
      </c>
      <c r="AI441" t="str">
        <f t="shared" ref="AI441:AI504" si="53">IFERROR(VLOOKUP(AH441,$AA$4:$AB$13,2,0),VLOOKUP(AH441,$AC$4:$AD$13,2,0))</f>
        <v>Rg</v>
      </c>
      <c r="AJ441" s="6" t="str">
        <f t="shared" ref="AJ441:AJ504" si="54">IF(AND(AI440="Rg",AI442="Rg"),"2Rg",IF(AND(AI440="Rg",AI442="Fx"),"RgFx",IF(AND(AI440="Fx",AI442="Rg"),"RgFx",IF(AND(AI440="Fx",AI442="Fx"),"2Fx",""))))</f>
        <v>2Fx</v>
      </c>
      <c r="AK441" s="19">
        <f t="shared" ref="AK441:AK504" si="55">IF(AJ441&lt;&gt;"",VLOOKUP(AJ441,mv,HLOOKUP(AH441,mh,2,0),0),"")</f>
        <v>-0.42199999999999999</v>
      </c>
    </row>
    <row r="442" spans="33:37">
      <c r="AG442" s="41">
        <f t="shared" si="51"/>
        <v>440</v>
      </c>
      <c r="AH442" t="str">
        <f t="shared" si="52"/>
        <v>D</v>
      </c>
      <c r="AI442" t="str">
        <f t="shared" si="53"/>
        <v>Fx</v>
      </c>
      <c r="AJ442" s="6" t="str">
        <f t="shared" si="54"/>
        <v>2Rg</v>
      </c>
      <c r="AK442" s="19">
        <f t="shared" si="55"/>
        <v>-0.58399999999999996</v>
      </c>
    </row>
    <row r="443" spans="33:37">
      <c r="AG443" s="41">
        <f t="shared" si="51"/>
        <v>441</v>
      </c>
      <c r="AH443" t="str">
        <f t="shared" si="52"/>
        <v>M</v>
      </c>
      <c r="AI443" t="str">
        <f t="shared" si="53"/>
        <v>Rg</v>
      </c>
      <c r="AJ443" s="6" t="str">
        <f t="shared" si="54"/>
        <v>2Fx</v>
      </c>
      <c r="AK443" s="19">
        <f t="shared" si="55"/>
        <v>-0.48499999999999999</v>
      </c>
    </row>
    <row r="444" spans="33:37">
      <c r="AG444" s="41">
        <f t="shared" si="51"/>
        <v>442</v>
      </c>
      <c r="AH444" t="str">
        <f t="shared" si="52"/>
        <v>E</v>
      </c>
      <c r="AI444" t="str">
        <f t="shared" si="53"/>
        <v>Fx</v>
      </c>
      <c r="AJ444" s="6" t="str">
        <f t="shared" si="54"/>
        <v>2Rg</v>
      </c>
      <c r="AK444" s="19">
        <f t="shared" si="55"/>
        <v>-0.48</v>
      </c>
    </row>
    <row r="445" spans="33:37">
      <c r="AG445" s="41">
        <f t="shared" si="51"/>
        <v>443</v>
      </c>
      <c r="AH445" t="str">
        <f t="shared" si="52"/>
        <v>V</v>
      </c>
      <c r="AI445" t="str">
        <f t="shared" si="53"/>
        <v>Rg</v>
      </c>
      <c r="AJ445" s="6" t="str">
        <f t="shared" si="54"/>
        <v>2Fx</v>
      </c>
      <c r="AK445" s="19">
        <f t="shared" si="55"/>
        <v>-0.501</v>
      </c>
    </row>
    <row r="446" spans="33:37">
      <c r="AG446" s="41">
        <f t="shared" si="51"/>
        <v>444</v>
      </c>
      <c r="AH446" t="str">
        <f t="shared" si="52"/>
        <v>T</v>
      </c>
      <c r="AI446" t="str">
        <f t="shared" si="53"/>
        <v>Fx</v>
      </c>
      <c r="AJ446" s="6" t="str">
        <f t="shared" si="54"/>
        <v>RgFx</v>
      </c>
      <c r="AK446" s="19">
        <f t="shared" si="55"/>
        <v>-0.50600000000000001</v>
      </c>
    </row>
    <row r="447" spans="33:37">
      <c r="AG447" s="41">
        <f t="shared" si="51"/>
        <v>445</v>
      </c>
      <c r="AH447" t="str">
        <f t="shared" si="52"/>
        <v>P</v>
      </c>
      <c r="AI447" t="str">
        <f t="shared" si="53"/>
        <v>Fx</v>
      </c>
      <c r="AJ447" s="6" t="str">
        <f t="shared" si="54"/>
        <v>2Fx</v>
      </c>
      <c r="AK447" s="19">
        <f t="shared" si="55"/>
        <v>-0.12</v>
      </c>
    </row>
    <row r="448" spans="33:37">
      <c r="AG448" s="41">
        <f t="shared" si="51"/>
        <v>446</v>
      </c>
      <c r="AH448" t="str">
        <f t="shared" si="52"/>
        <v>E</v>
      </c>
      <c r="AI448" t="str">
        <f t="shared" si="53"/>
        <v>Fx</v>
      </c>
      <c r="AJ448" s="6" t="str">
        <f t="shared" si="54"/>
        <v>2Fx</v>
      </c>
      <c r="AK448" s="19">
        <f t="shared" si="55"/>
        <v>0.189</v>
      </c>
    </row>
    <row r="449" spans="33:37">
      <c r="AG449" s="41">
        <f t="shared" si="51"/>
        <v>447</v>
      </c>
      <c r="AH449" t="str">
        <f t="shared" si="52"/>
        <v>D</v>
      </c>
      <c r="AI449" t="str">
        <f t="shared" si="53"/>
        <v>Fx</v>
      </c>
      <c r="AJ449" s="6" t="str">
        <f t="shared" si="54"/>
        <v>2Fx</v>
      </c>
      <c r="AK449" s="19">
        <f t="shared" si="55"/>
        <v>7.1999999999999995E-2</v>
      </c>
    </row>
    <row r="450" spans="33:37">
      <c r="AG450" s="41">
        <f t="shared" si="51"/>
        <v>448</v>
      </c>
      <c r="AH450" t="str">
        <f t="shared" si="52"/>
        <v>T</v>
      </c>
      <c r="AI450" t="str">
        <f t="shared" si="53"/>
        <v>Fx</v>
      </c>
      <c r="AJ450" s="6" t="str">
        <f t="shared" si="54"/>
        <v>RgFx</v>
      </c>
      <c r="AK450" s="19">
        <f t="shared" si="55"/>
        <v>-0.50600000000000001</v>
      </c>
    </row>
    <row r="451" spans="33:37">
      <c r="AG451" s="41">
        <f t="shared" si="51"/>
        <v>449</v>
      </c>
      <c r="AH451" t="str">
        <f t="shared" si="52"/>
        <v>L</v>
      </c>
      <c r="AI451" t="str">
        <f t="shared" si="53"/>
        <v>Rg</v>
      </c>
      <c r="AJ451" s="6" t="str">
        <f t="shared" si="54"/>
        <v>RgFx</v>
      </c>
      <c r="AK451" s="19">
        <f t="shared" si="55"/>
        <v>-0.64200000000000002</v>
      </c>
    </row>
    <row r="452" spans="33:37">
      <c r="AG452" s="41">
        <f t="shared" si="51"/>
        <v>450</v>
      </c>
      <c r="AH452" t="str">
        <f t="shared" si="52"/>
        <v>I</v>
      </c>
      <c r="AI452" t="str">
        <f t="shared" si="53"/>
        <v>Rg</v>
      </c>
      <c r="AJ452" s="6" t="str">
        <f t="shared" si="54"/>
        <v>2Rg</v>
      </c>
      <c r="AK452" s="19">
        <f t="shared" si="55"/>
        <v>-0.88900000000000001</v>
      </c>
    </row>
    <row r="453" spans="33:37">
      <c r="AG453" s="41">
        <f t="shared" ref="AG453:AG516" si="56">IF(AG452&lt;$AF$4,AG452+1,"")</f>
        <v>451</v>
      </c>
      <c r="AH453" t="str">
        <f t="shared" si="52"/>
        <v>L</v>
      </c>
      <c r="AI453" t="str">
        <f t="shared" si="53"/>
        <v>Rg</v>
      </c>
      <c r="AJ453" s="6" t="str">
        <f t="shared" si="54"/>
        <v>2Rg</v>
      </c>
      <c r="AK453" s="19">
        <f t="shared" si="55"/>
        <v>-0.86499999999999999</v>
      </c>
    </row>
    <row r="454" spans="33:37">
      <c r="AG454" s="41">
        <f t="shared" si="56"/>
        <v>452</v>
      </c>
      <c r="AH454" t="str">
        <f t="shared" si="52"/>
        <v>V</v>
      </c>
      <c r="AI454" t="str">
        <f t="shared" si="53"/>
        <v>Rg</v>
      </c>
      <c r="AJ454" s="6" t="str">
        <f t="shared" si="54"/>
        <v>RgFx</v>
      </c>
      <c r="AK454" s="19">
        <f t="shared" si="55"/>
        <v>-0.67300000000000004</v>
      </c>
    </row>
    <row r="455" spans="33:37">
      <c r="AG455" s="41">
        <f t="shared" si="56"/>
        <v>453</v>
      </c>
      <c r="AH455" t="str">
        <f t="shared" si="52"/>
        <v>K</v>
      </c>
      <c r="AI455" t="str">
        <f t="shared" si="53"/>
        <v>Fx</v>
      </c>
      <c r="AJ455" s="6" t="str">
        <f t="shared" si="54"/>
        <v>RgFx</v>
      </c>
      <c r="AK455" s="19">
        <f t="shared" si="55"/>
        <v>-6.5000000000000002E-2</v>
      </c>
    </row>
    <row r="456" spans="33:37">
      <c r="AG456" s="41">
        <f t="shared" si="56"/>
        <v>454</v>
      </c>
      <c r="AH456" t="str">
        <f t="shared" si="52"/>
        <v>E</v>
      </c>
      <c r="AI456" t="str">
        <f t="shared" si="53"/>
        <v>Fx</v>
      </c>
      <c r="AJ456" s="6" t="str">
        <f t="shared" si="54"/>
        <v>2Fx</v>
      </c>
      <c r="AK456" s="19">
        <f t="shared" si="55"/>
        <v>0.189</v>
      </c>
    </row>
    <row r="457" spans="33:37">
      <c r="AG457" s="41">
        <f t="shared" si="56"/>
        <v>455</v>
      </c>
      <c r="AH457" t="str">
        <f t="shared" si="52"/>
        <v>K</v>
      </c>
      <c r="AI457" t="str">
        <f t="shared" si="53"/>
        <v>Fx</v>
      </c>
      <c r="AJ457" s="6" t="e">
        <f t="shared" si="54"/>
        <v>#N/A</v>
      </c>
      <c r="AK457" s="19" t="e">
        <f t="shared" si="55"/>
        <v>#N/A</v>
      </c>
    </row>
    <row r="458" spans="33:37">
      <c r="AG458" s="41" t="str">
        <f t="shared" si="56"/>
        <v/>
      </c>
      <c r="AH458" t="str">
        <f t="shared" si="52"/>
        <v/>
      </c>
      <c r="AI458" t="e">
        <f t="shared" si="53"/>
        <v>#N/A</v>
      </c>
      <c r="AJ458" s="6" t="e">
        <f t="shared" si="54"/>
        <v>#N/A</v>
      </c>
      <c r="AK458" s="19" t="e">
        <f t="shared" si="55"/>
        <v>#N/A</v>
      </c>
    </row>
    <row r="459" spans="33:37">
      <c r="AG459" s="41" t="str">
        <f t="shared" si="56"/>
        <v/>
      </c>
      <c r="AH459" t="str">
        <f t="shared" si="52"/>
        <v/>
      </c>
      <c r="AI459" t="e">
        <f t="shared" si="53"/>
        <v>#N/A</v>
      </c>
      <c r="AJ459" s="6" t="e">
        <f t="shared" si="54"/>
        <v>#N/A</v>
      </c>
      <c r="AK459" s="19" t="e">
        <f t="shared" si="55"/>
        <v>#N/A</v>
      </c>
    </row>
    <row r="460" spans="33:37">
      <c r="AG460" s="41" t="str">
        <f t="shared" si="56"/>
        <v/>
      </c>
      <c r="AH460" t="str">
        <f t="shared" si="52"/>
        <v/>
      </c>
      <c r="AI460" t="e">
        <f t="shared" si="53"/>
        <v>#N/A</v>
      </c>
      <c r="AJ460" s="6" t="e">
        <f t="shared" si="54"/>
        <v>#N/A</v>
      </c>
      <c r="AK460" s="19" t="e">
        <f t="shared" si="55"/>
        <v>#N/A</v>
      </c>
    </row>
    <row r="461" spans="33:37">
      <c r="AG461" s="41" t="str">
        <f t="shared" si="56"/>
        <v/>
      </c>
      <c r="AH461" t="str">
        <f t="shared" si="52"/>
        <v/>
      </c>
      <c r="AI461" t="e">
        <f t="shared" si="53"/>
        <v>#N/A</v>
      </c>
      <c r="AJ461" s="6" t="e">
        <f t="shared" si="54"/>
        <v>#N/A</v>
      </c>
      <c r="AK461" s="19" t="e">
        <f t="shared" si="55"/>
        <v>#N/A</v>
      </c>
    </row>
    <row r="462" spans="33:37">
      <c r="AG462" s="41" t="str">
        <f t="shared" si="56"/>
        <v/>
      </c>
      <c r="AH462" t="str">
        <f t="shared" si="52"/>
        <v/>
      </c>
      <c r="AI462" t="e">
        <f t="shared" si="53"/>
        <v>#N/A</v>
      </c>
      <c r="AJ462" s="6" t="e">
        <f t="shared" si="54"/>
        <v>#N/A</v>
      </c>
      <c r="AK462" s="19" t="e">
        <f t="shared" si="55"/>
        <v>#N/A</v>
      </c>
    </row>
    <row r="463" spans="33:37">
      <c r="AG463" s="41" t="str">
        <f t="shared" si="56"/>
        <v/>
      </c>
      <c r="AH463" t="str">
        <f t="shared" si="52"/>
        <v/>
      </c>
      <c r="AI463" t="e">
        <f t="shared" si="53"/>
        <v>#N/A</v>
      </c>
      <c r="AJ463" s="6" t="e">
        <f t="shared" si="54"/>
        <v>#N/A</v>
      </c>
      <c r="AK463" s="19" t="e">
        <f t="shared" si="55"/>
        <v>#N/A</v>
      </c>
    </row>
    <row r="464" spans="33:37">
      <c r="AG464" s="41" t="str">
        <f t="shared" si="56"/>
        <v/>
      </c>
      <c r="AH464" t="str">
        <f t="shared" si="52"/>
        <v/>
      </c>
      <c r="AI464" t="e">
        <f t="shared" si="53"/>
        <v>#N/A</v>
      </c>
      <c r="AJ464" s="6" t="e">
        <f t="shared" si="54"/>
        <v>#N/A</v>
      </c>
      <c r="AK464" s="19" t="e">
        <f t="shared" si="55"/>
        <v>#N/A</v>
      </c>
    </row>
    <row r="465" spans="33:37">
      <c r="AG465" s="41" t="str">
        <f t="shared" si="56"/>
        <v/>
      </c>
      <c r="AH465" t="str">
        <f t="shared" si="52"/>
        <v/>
      </c>
      <c r="AI465" t="e">
        <f t="shared" si="53"/>
        <v>#N/A</v>
      </c>
      <c r="AJ465" s="6" t="e">
        <f t="shared" si="54"/>
        <v>#N/A</v>
      </c>
      <c r="AK465" s="19" t="e">
        <f t="shared" si="55"/>
        <v>#N/A</v>
      </c>
    </row>
    <row r="466" spans="33:37">
      <c r="AG466" s="41" t="str">
        <f t="shared" si="56"/>
        <v/>
      </c>
      <c r="AH466" t="str">
        <f t="shared" si="52"/>
        <v/>
      </c>
      <c r="AI466" t="e">
        <f t="shared" si="53"/>
        <v>#N/A</v>
      </c>
      <c r="AJ466" s="6" t="e">
        <f t="shared" si="54"/>
        <v>#N/A</v>
      </c>
      <c r="AK466" s="19" t="e">
        <f t="shared" si="55"/>
        <v>#N/A</v>
      </c>
    </row>
    <row r="467" spans="33:37">
      <c r="AG467" s="41" t="str">
        <f t="shared" si="56"/>
        <v/>
      </c>
      <c r="AH467" t="str">
        <f t="shared" si="52"/>
        <v/>
      </c>
      <c r="AI467" t="e">
        <f t="shared" si="53"/>
        <v>#N/A</v>
      </c>
      <c r="AJ467" s="6" t="e">
        <f t="shared" si="54"/>
        <v>#N/A</v>
      </c>
      <c r="AK467" s="19" t="e">
        <f t="shared" si="55"/>
        <v>#N/A</v>
      </c>
    </row>
    <row r="468" spans="33:37">
      <c r="AG468" s="41" t="str">
        <f t="shared" si="56"/>
        <v/>
      </c>
      <c r="AH468" t="str">
        <f t="shared" si="52"/>
        <v/>
      </c>
      <c r="AI468" t="e">
        <f t="shared" si="53"/>
        <v>#N/A</v>
      </c>
      <c r="AJ468" s="6" t="e">
        <f t="shared" si="54"/>
        <v>#N/A</v>
      </c>
      <c r="AK468" s="19" t="e">
        <f t="shared" si="55"/>
        <v>#N/A</v>
      </c>
    </row>
    <row r="469" spans="33:37">
      <c r="AG469" s="41" t="str">
        <f t="shared" si="56"/>
        <v/>
      </c>
      <c r="AH469" t="str">
        <f t="shared" si="52"/>
        <v/>
      </c>
      <c r="AI469" t="e">
        <f t="shared" si="53"/>
        <v>#N/A</v>
      </c>
      <c r="AJ469" s="6" t="e">
        <f t="shared" si="54"/>
        <v>#N/A</v>
      </c>
      <c r="AK469" s="19" t="e">
        <f t="shared" si="55"/>
        <v>#N/A</v>
      </c>
    </row>
    <row r="470" spans="33:37">
      <c r="AG470" s="41" t="str">
        <f t="shared" si="56"/>
        <v/>
      </c>
      <c r="AH470" t="str">
        <f t="shared" si="52"/>
        <v/>
      </c>
      <c r="AI470" t="e">
        <f t="shared" si="53"/>
        <v>#N/A</v>
      </c>
      <c r="AJ470" s="6" t="e">
        <f t="shared" si="54"/>
        <v>#N/A</v>
      </c>
      <c r="AK470" s="19" t="e">
        <f t="shared" si="55"/>
        <v>#N/A</v>
      </c>
    </row>
    <row r="471" spans="33:37">
      <c r="AG471" s="41" t="str">
        <f t="shared" si="56"/>
        <v/>
      </c>
      <c r="AH471" t="str">
        <f t="shared" si="52"/>
        <v/>
      </c>
      <c r="AI471" t="e">
        <f t="shared" si="53"/>
        <v>#N/A</v>
      </c>
      <c r="AJ471" s="6" t="e">
        <f t="shared" si="54"/>
        <v>#N/A</v>
      </c>
      <c r="AK471" s="19" t="e">
        <f t="shared" si="55"/>
        <v>#N/A</v>
      </c>
    </row>
    <row r="472" spans="33:37">
      <c r="AG472" s="41" t="str">
        <f t="shared" si="56"/>
        <v/>
      </c>
      <c r="AH472" t="str">
        <f t="shared" si="52"/>
        <v/>
      </c>
      <c r="AI472" t="e">
        <f t="shared" si="53"/>
        <v>#N/A</v>
      </c>
      <c r="AJ472" s="6" t="e">
        <f t="shared" si="54"/>
        <v>#N/A</v>
      </c>
      <c r="AK472" s="19" t="e">
        <f t="shared" si="55"/>
        <v>#N/A</v>
      </c>
    </row>
    <row r="473" spans="33:37">
      <c r="AG473" s="41" t="str">
        <f t="shared" si="56"/>
        <v/>
      </c>
      <c r="AH473" t="str">
        <f t="shared" si="52"/>
        <v/>
      </c>
      <c r="AI473" t="e">
        <f t="shared" si="53"/>
        <v>#N/A</v>
      </c>
      <c r="AJ473" s="6" t="e">
        <f t="shared" si="54"/>
        <v>#N/A</v>
      </c>
      <c r="AK473" s="19" t="e">
        <f t="shared" si="55"/>
        <v>#N/A</v>
      </c>
    </row>
    <row r="474" spans="33:37">
      <c r="AG474" s="41" t="str">
        <f t="shared" si="56"/>
        <v/>
      </c>
      <c r="AH474" t="str">
        <f t="shared" si="52"/>
        <v/>
      </c>
      <c r="AI474" t="e">
        <f t="shared" si="53"/>
        <v>#N/A</v>
      </c>
      <c r="AJ474" s="6" t="e">
        <f t="shared" si="54"/>
        <v>#N/A</v>
      </c>
      <c r="AK474" s="19" t="e">
        <f t="shared" si="55"/>
        <v>#N/A</v>
      </c>
    </row>
    <row r="475" spans="33:37">
      <c r="AG475" s="41" t="str">
        <f t="shared" si="56"/>
        <v/>
      </c>
      <c r="AH475" t="str">
        <f t="shared" si="52"/>
        <v/>
      </c>
      <c r="AI475" t="e">
        <f t="shared" si="53"/>
        <v>#N/A</v>
      </c>
      <c r="AJ475" s="6" t="e">
        <f t="shared" si="54"/>
        <v>#N/A</v>
      </c>
      <c r="AK475" s="19" t="e">
        <f t="shared" si="55"/>
        <v>#N/A</v>
      </c>
    </row>
    <row r="476" spans="33:37">
      <c r="AG476" s="41" t="str">
        <f t="shared" si="56"/>
        <v/>
      </c>
      <c r="AH476" t="str">
        <f t="shared" si="52"/>
        <v/>
      </c>
      <c r="AI476" t="e">
        <f t="shared" si="53"/>
        <v>#N/A</v>
      </c>
      <c r="AJ476" s="6" t="e">
        <f t="shared" si="54"/>
        <v>#N/A</v>
      </c>
      <c r="AK476" s="19" t="e">
        <f t="shared" si="55"/>
        <v>#N/A</v>
      </c>
    </row>
    <row r="477" spans="33:37">
      <c r="AG477" s="41" t="str">
        <f t="shared" si="56"/>
        <v/>
      </c>
      <c r="AH477" t="str">
        <f t="shared" si="52"/>
        <v/>
      </c>
      <c r="AI477" t="e">
        <f t="shared" si="53"/>
        <v>#N/A</v>
      </c>
      <c r="AJ477" s="6" t="e">
        <f t="shared" si="54"/>
        <v>#N/A</v>
      </c>
      <c r="AK477" s="19" t="e">
        <f t="shared" si="55"/>
        <v>#N/A</v>
      </c>
    </row>
    <row r="478" spans="33:37">
      <c r="AG478" s="41" t="str">
        <f t="shared" si="56"/>
        <v/>
      </c>
      <c r="AH478" t="str">
        <f t="shared" si="52"/>
        <v/>
      </c>
      <c r="AI478" t="e">
        <f t="shared" si="53"/>
        <v>#N/A</v>
      </c>
      <c r="AJ478" s="6" t="e">
        <f t="shared" si="54"/>
        <v>#N/A</v>
      </c>
      <c r="AK478" s="19" t="e">
        <f t="shared" si="55"/>
        <v>#N/A</v>
      </c>
    </row>
    <row r="479" spans="33:37">
      <c r="AG479" s="41" t="str">
        <f t="shared" si="56"/>
        <v/>
      </c>
      <c r="AH479" t="str">
        <f t="shared" si="52"/>
        <v/>
      </c>
      <c r="AI479" t="e">
        <f t="shared" si="53"/>
        <v>#N/A</v>
      </c>
      <c r="AJ479" s="6" t="e">
        <f t="shared" si="54"/>
        <v>#N/A</v>
      </c>
      <c r="AK479" s="19" t="e">
        <f t="shared" si="55"/>
        <v>#N/A</v>
      </c>
    </row>
    <row r="480" spans="33:37">
      <c r="AG480" s="41" t="str">
        <f t="shared" si="56"/>
        <v/>
      </c>
      <c r="AH480" t="str">
        <f t="shared" si="52"/>
        <v/>
      </c>
      <c r="AI480" t="e">
        <f t="shared" si="53"/>
        <v>#N/A</v>
      </c>
      <c r="AJ480" s="6" t="e">
        <f t="shared" si="54"/>
        <v>#N/A</v>
      </c>
      <c r="AK480" s="19" t="e">
        <f t="shared" si="55"/>
        <v>#N/A</v>
      </c>
    </row>
    <row r="481" spans="33:37">
      <c r="AG481" s="41" t="str">
        <f t="shared" si="56"/>
        <v/>
      </c>
      <c r="AH481" t="str">
        <f t="shared" si="52"/>
        <v/>
      </c>
      <c r="AI481" t="e">
        <f t="shared" si="53"/>
        <v>#N/A</v>
      </c>
      <c r="AJ481" s="6" t="e">
        <f t="shared" si="54"/>
        <v>#N/A</v>
      </c>
      <c r="AK481" s="19" t="e">
        <f t="shared" si="55"/>
        <v>#N/A</v>
      </c>
    </row>
    <row r="482" spans="33:37">
      <c r="AG482" s="41" t="str">
        <f t="shared" si="56"/>
        <v/>
      </c>
      <c r="AH482" t="str">
        <f t="shared" si="52"/>
        <v/>
      </c>
      <c r="AI482" t="e">
        <f t="shared" si="53"/>
        <v>#N/A</v>
      </c>
      <c r="AJ482" s="6" t="e">
        <f t="shared" si="54"/>
        <v>#N/A</v>
      </c>
      <c r="AK482" s="19" t="e">
        <f t="shared" si="55"/>
        <v>#N/A</v>
      </c>
    </row>
    <row r="483" spans="33:37">
      <c r="AG483" s="41" t="str">
        <f t="shared" si="56"/>
        <v/>
      </c>
      <c r="AH483" t="str">
        <f t="shared" si="52"/>
        <v/>
      </c>
      <c r="AI483" t="e">
        <f t="shared" si="53"/>
        <v>#N/A</v>
      </c>
      <c r="AJ483" s="6" t="e">
        <f t="shared" si="54"/>
        <v>#N/A</v>
      </c>
      <c r="AK483" s="19" t="e">
        <f t="shared" si="55"/>
        <v>#N/A</v>
      </c>
    </row>
    <row r="484" spans="33:37">
      <c r="AG484" s="41" t="str">
        <f t="shared" si="56"/>
        <v/>
      </c>
      <c r="AH484" t="str">
        <f t="shared" si="52"/>
        <v/>
      </c>
      <c r="AI484" t="e">
        <f t="shared" si="53"/>
        <v>#N/A</v>
      </c>
      <c r="AJ484" s="6" t="e">
        <f t="shared" si="54"/>
        <v>#N/A</v>
      </c>
      <c r="AK484" s="19" t="e">
        <f t="shared" si="55"/>
        <v>#N/A</v>
      </c>
    </row>
    <row r="485" spans="33:37">
      <c r="AG485" s="41" t="str">
        <f t="shared" si="56"/>
        <v/>
      </c>
      <c r="AH485" t="str">
        <f t="shared" si="52"/>
        <v/>
      </c>
      <c r="AI485" t="e">
        <f t="shared" si="53"/>
        <v>#N/A</v>
      </c>
      <c r="AJ485" s="6" t="e">
        <f t="shared" si="54"/>
        <v>#N/A</v>
      </c>
      <c r="AK485" s="19" t="e">
        <f t="shared" si="55"/>
        <v>#N/A</v>
      </c>
    </row>
    <row r="486" spans="33:37">
      <c r="AG486" s="41" t="str">
        <f t="shared" si="56"/>
        <v/>
      </c>
      <c r="AH486" t="str">
        <f t="shared" si="52"/>
        <v/>
      </c>
      <c r="AI486" t="e">
        <f t="shared" si="53"/>
        <v>#N/A</v>
      </c>
      <c r="AJ486" s="6" t="e">
        <f t="shared" si="54"/>
        <v>#N/A</v>
      </c>
      <c r="AK486" s="19" t="e">
        <f t="shared" si="55"/>
        <v>#N/A</v>
      </c>
    </row>
    <row r="487" spans="33:37">
      <c r="AG487" s="41" t="str">
        <f t="shared" si="56"/>
        <v/>
      </c>
      <c r="AH487" t="str">
        <f t="shared" si="52"/>
        <v/>
      </c>
      <c r="AI487" t="e">
        <f t="shared" si="53"/>
        <v>#N/A</v>
      </c>
      <c r="AJ487" s="6" t="e">
        <f t="shared" si="54"/>
        <v>#N/A</v>
      </c>
      <c r="AK487" s="19" t="e">
        <f t="shared" si="55"/>
        <v>#N/A</v>
      </c>
    </row>
    <row r="488" spans="33:37">
      <c r="AG488" s="41" t="str">
        <f t="shared" si="56"/>
        <v/>
      </c>
      <c r="AH488" t="str">
        <f t="shared" si="52"/>
        <v/>
      </c>
      <c r="AI488" t="e">
        <f t="shared" si="53"/>
        <v>#N/A</v>
      </c>
      <c r="AJ488" s="6" t="e">
        <f t="shared" si="54"/>
        <v>#N/A</v>
      </c>
      <c r="AK488" s="19" t="e">
        <f t="shared" si="55"/>
        <v>#N/A</v>
      </c>
    </row>
    <row r="489" spans="33:37">
      <c r="AG489" s="41" t="str">
        <f t="shared" si="56"/>
        <v/>
      </c>
      <c r="AH489" t="str">
        <f t="shared" si="52"/>
        <v/>
      </c>
      <c r="AI489" t="e">
        <f t="shared" si="53"/>
        <v>#N/A</v>
      </c>
      <c r="AJ489" s="6" t="e">
        <f t="shared" si="54"/>
        <v>#N/A</v>
      </c>
      <c r="AK489" s="19" t="e">
        <f t="shared" si="55"/>
        <v>#N/A</v>
      </c>
    </row>
    <row r="490" spans="33:37">
      <c r="AG490" s="41" t="str">
        <f t="shared" si="56"/>
        <v/>
      </c>
      <c r="AH490" t="str">
        <f t="shared" si="52"/>
        <v/>
      </c>
      <c r="AI490" t="e">
        <f t="shared" si="53"/>
        <v>#N/A</v>
      </c>
      <c r="AJ490" s="6" t="e">
        <f t="shared" si="54"/>
        <v>#N/A</v>
      </c>
      <c r="AK490" s="19" t="e">
        <f t="shared" si="55"/>
        <v>#N/A</v>
      </c>
    </row>
    <row r="491" spans="33:37">
      <c r="AG491" s="41" t="str">
        <f t="shared" si="56"/>
        <v/>
      </c>
      <c r="AH491" t="str">
        <f t="shared" si="52"/>
        <v/>
      </c>
      <c r="AI491" t="e">
        <f t="shared" si="53"/>
        <v>#N/A</v>
      </c>
      <c r="AJ491" s="6" t="e">
        <f t="shared" si="54"/>
        <v>#N/A</v>
      </c>
      <c r="AK491" s="19" t="e">
        <f t="shared" si="55"/>
        <v>#N/A</v>
      </c>
    </row>
    <row r="492" spans="33:37">
      <c r="AG492" s="41" t="str">
        <f t="shared" si="56"/>
        <v/>
      </c>
      <c r="AH492" t="str">
        <f t="shared" si="52"/>
        <v/>
      </c>
      <c r="AI492" t="e">
        <f t="shared" si="53"/>
        <v>#N/A</v>
      </c>
      <c r="AJ492" s="6" t="e">
        <f t="shared" si="54"/>
        <v>#N/A</v>
      </c>
      <c r="AK492" s="19" t="e">
        <f t="shared" si="55"/>
        <v>#N/A</v>
      </c>
    </row>
    <row r="493" spans="33:37">
      <c r="AG493" s="41" t="str">
        <f t="shared" si="56"/>
        <v/>
      </c>
      <c r="AH493" t="str">
        <f t="shared" si="52"/>
        <v/>
      </c>
      <c r="AI493" t="e">
        <f t="shared" si="53"/>
        <v>#N/A</v>
      </c>
      <c r="AJ493" s="6" t="e">
        <f t="shared" si="54"/>
        <v>#N/A</v>
      </c>
      <c r="AK493" s="19" t="e">
        <f t="shared" si="55"/>
        <v>#N/A</v>
      </c>
    </row>
    <row r="494" spans="33:37">
      <c r="AG494" s="41" t="str">
        <f t="shared" si="56"/>
        <v/>
      </c>
      <c r="AH494" t="str">
        <f t="shared" si="52"/>
        <v/>
      </c>
      <c r="AI494" t="e">
        <f t="shared" si="53"/>
        <v>#N/A</v>
      </c>
      <c r="AJ494" s="6" t="e">
        <f t="shared" si="54"/>
        <v>#N/A</v>
      </c>
      <c r="AK494" s="19" t="e">
        <f t="shared" si="55"/>
        <v>#N/A</v>
      </c>
    </row>
    <row r="495" spans="33:37">
      <c r="AG495" s="41" t="str">
        <f t="shared" si="56"/>
        <v/>
      </c>
      <c r="AH495" t="str">
        <f t="shared" si="52"/>
        <v/>
      </c>
      <c r="AI495" t="e">
        <f t="shared" si="53"/>
        <v>#N/A</v>
      </c>
      <c r="AJ495" s="6" t="e">
        <f t="shared" si="54"/>
        <v>#N/A</v>
      </c>
      <c r="AK495" s="19" t="e">
        <f t="shared" si="55"/>
        <v>#N/A</v>
      </c>
    </row>
    <row r="496" spans="33:37">
      <c r="AG496" s="41" t="str">
        <f t="shared" si="56"/>
        <v/>
      </c>
      <c r="AH496" t="str">
        <f t="shared" si="52"/>
        <v/>
      </c>
      <c r="AI496" t="e">
        <f t="shared" si="53"/>
        <v>#N/A</v>
      </c>
      <c r="AJ496" s="6" t="e">
        <f t="shared" si="54"/>
        <v>#N/A</v>
      </c>
      <c r="AK496" s="19" t="e">
        <f t="shared" si="55"/>
        <v>#N/A</v>
      </c>
    </row>
    <row r="497" spans="33:37">
      <c r="AG497" s="41" t="str">
        <f t="shared" si="56"/>
        <v/>
      </c>
      <c r="AH497" t="str">
        <f t="shared" si="52"/>
        <v/>
      </c>
      <c r="AI497" t="e">
        <f t="shared" si="53"/>
        <v>#N/A</v>
      </c>
      <c r="AJ497" s="6" t="e">
        <f t="shared" si="54"/>
        <v>#N/A</v>
      </c>
      <c r="AK497" s="19" t="e">
        <f t="shared" si="55"/>
        <v>#N/A</v>
      </c>
    </row>
    <row r="498" spans="33:37">
      <c r="AG498" s="41" t="str">
        <f t="shared" si="56"/>
        <v/>
      </c>
      <c r="AH498" t="str">
        <f t="shared" si="52"/>
        <v/>
      </c>
      <c r="AI498" t="e">
        <f t="shared" si="53"/>
        <v>#N/A</v>
      </c>
      <c r="AJ498" s="6" t="e">
        <f t="shared" si="54"/>
        <v>#N/A</v>
      </c>
      <c r="AK498" s="19" t="e">
        <f t="shared" si="55"/>
        <v>#N/A</v>
      </c>
    </row>
    <row r="499" spans="33:37">
      <c r="AG499" s="41" t="str">
        <f t="shared" si="56"/>
        <v/>
      </c>
      <c r="AH499" t="str">
        <f t="shared" si="52"/>
        <v/>
      </c>
      <c r="AI499" t="e">
        <f t="shared" si="53"/>
        <v>#N/A</v>
      </c>
      <c r="AJ499" s="6" t="e">
        <f t="shared" si="54"/>
        <v>#N/A</v>
      </c>
      <c r="AK499" s="19" t="e">
        <f t="shared" si="55"/>
        <v>#N/A</v>
      </c>
    </row>
    <row r="500" spans="33:37">
      <c r="AG500" s="41" t="str">
        <f t="shared" si="56"/>
        <v/>
      </c>
      <c r="AH500" t="str">
        <f t="shared" si="52"/>
        <v/>
      </c>
      <c r="AI500" t="e">
        <f t="shared" si="53"/>
        <v>#N/A</v>
      </c>
      <c r="AJ500" s="6" t="e">
        <f t="shared" si="54"/>
        <v>#N/A</v>
      </c>
      <c r="AK500" s="19" t="e">
        <f t="shared" si="55"/>
        <v>#N/A</v>
      </c>
    </row>
    <row r="501" spans="33:37">
      <c r="AG501" s="41" t="str">
        <f t="shared" si="56"/>
        <v/>
      </c>
      <c r="AH501" t="str">
        <f t="shared" si="52"/>
        <v/>
      </c>
      <c r="AI501" t="e">
        <f t="shared" si="53"/>
        <v>#N/A</v>
      </c>
      <c r="AJ501" s="6" t="e">
        <f t="shared" si="54"/>
        <v>#N/A</v>
      </c>
      <c r="AK501" s="19" t="e">
        <f t="shared" si="55"/>
        <v>#N/A</v>
      </c>
    </row>
    <row r="502" spans="33:37">
      <c r="AG502" s="41" t="str">
        <f t="shared" si="56"/>
        <v/>
      </c>
      <c r="AH502" t="str">
        <f t="shared" si="52"/>
        <v/>
      </c>
      <c r="AI502" t="e">
        <f t="shared" si="53"/>
        <v>#N/A</v>
      </c>
      <c r="AJ502" s="6" t="e">
        <f t="shared" si="54"/>
        <v>#N/A</v>
      </c>
      <c r="AK502" s="19" t="e">
        <f t="shared" si="55"/>
        <v>#N/A</v>
      </c>
    </row>
    <row r="503" spans="33:37">
      <c r="AG503" s="41" t="str">
        <f t="shared" si="56"/>
        <v/>
      </c>
      <c r="AH503" t="str">
        <f t="shared" si="52"/>
        <v/>
      </c>
      <c r="AI503" t="e">
        <f t="shared" si="53"/>
        <v>#N/A</v>
      </c>
      <c r="AJ503" s="6" t="e">
        <f t="shared" si="54"/>
        <v>#N/A</v>
      </c>
      <c r="AK503" s="19" t="e">
        <f t="shared" si="55"/>
        <v>#N/A</v>
      </c>
    </row>
    <row r="504" spans="33:37">
      <c r="AG504" s="41" t="str">
        <f t="shared" si="56"/>
        <v/>
      </c>
      <c r="AH504" t="str">
        <f t="shared" si="52"/>
        <v/>
      </c>
      <c r="AI504" t="e">
        <f t="shared" si="53"/>
        <v>#N/A</v>
      </c>
      <c r="AJ504" s="6" t="e">
        <f t="shared" si="54"/>
        <v>#N/A</v>
      </c>
      <c r="AK504" s="19" t="e">
        <f t="shared" si="55"/>
        <v>#N/A</v>
      </c>
    </row>
    <row r="505" spans="33:37">
      <c r="AG505" s="41" t="str">
        <f t="shared" si="56"/>
        <v/>
      </c>
      <c r="AH505" t="str">
        <f t="shared" ref="AH505:AH568" si="57">IF(AG505&lt;&gt;"",MID($AE$4,AG505,1),"")</f>
        <v/>
      </c>
      <c r="AI505" t="e">
        <f t="shared" ref="AI505:AI568" si="58">IFERROR(VLOOKUP(AH505,$AA$4:$AB$13,2,0),VLOOKUP(AH505,$AC$4:$AD$13,2,0))</f>
        <v>#N/A</v>
      </c>
      <c r="AJ505" s="6" t="e">
        <f t="shared" ref="AJ505:AJ568" si="59">IF(AND(AI504="Rg",AI506="Rg"),"2Rg",IF(AND(AI504="Rg",AI506="Fx"),"RgFx",IF(AND(AI504="Fx",AI506="Rg"),"RgFx",IF(AND(AI504="Fx",AI506="Fx"),"2Fx",""))))</f>
        <v>#N/A</v>
      </c>
      <c r="AK505" s="19" t="e">
        <f t="shared" ref="AK505:AK568" si="60">IF(AJ505&lt;&gt;"",VLOOKUP(AJ505,mv,HLOOKUP(AH505,mh,2,0),0),"")</f>
        <v>#N/A</v>
      </c>
    </row>
    <row r="506" spans="33:37">
      <c r="AG506" s="41" t="str">
        <f t="shared" si="56"/>
        <v/>
      </c>
      <c r="AH506" t="str">
        <f t="shared" si="57"/>
        <v/>
      </c>
      <c r="AI506" t="e">
        <f t="shared" si="58"/>
        <v>#N/A</v>
      </c>
      <c r="AJ506" s="6" t="e">
        <f t="shared" si="59"/>
        <v>#N/A</v>
      </c>
      <c r="AK506" s="19" t="e">
        <f t="shared" si="60"/>
        <v>#N/A</v>
      </c>
    </row>
    <row r="507" spans="33:37">
      <c r="AG507" s="41" t="str">
        <f t="shared" si="56"/>
        <v/>
      </c>
      <c r="AH507" t="str">
        <f t="shared" si="57"/>
        <v/>
      </c>
      <c r="AI507" t="e">
        <f t="shared" si="58"/>
        <v>#N/A</v>
      </c>
      <c r="AJ507" s="6" t="e">
        <f t="shared" si="59"/>
        <v>#N/A</v>
      </c>
      <c r="AK507" s="19" t="e">
        <f t="shared" si="60"/>
        <v>#N/A</v>
      </c>
    </row>
    <row r="508" spans="33:37">
      <c r="AG508" s="41" t="str">
        <f t="shared" si="56"/>
        <v/>
      </c>
      <c r="AH508" t="str">
        <f t="shared" si="57"/>
        <v/>
      </c>
      <c r="AI508" t="e">
        <f t="shared" si="58"/>
        <v>#N/A</v>
      </c>
      <c r="AJ508" s="6" t="e">
        <f t="shared" si="59"/>
        <v>#N/A</v>
      </c>
      <c r="AK508" s="19" t="e">
        <f t="shared" si="60"/>
        <v>#N/A</v>
      </c>
    </row>
    <row r="509" spans="33:37">
      <c r="AG509" s="41" t="str">
        <f t="shared" si="56"/>
        <v/>
      </c>
      <c r="AH509" t="str">
        <f t="shared" si="57"/>
        <v/>
      </c>
      <c r="AI509" t="e">
        <f t="shared" si="58"/>
        <v>#N/A</v>
      </c>
      <c r="AJ509" s="6" t="e">
        <f t="shared" si="59"/>
        <v>#N/A</v>
      </c>
      <c r="AK509" s="19" t="e">
        <f t="shared" si="60"/>
        <v>#N/A</v>
      </c>
    </row>
    <row r="510" spans="33:37">
      <c r="AG510" s="41" t="str">
        <f t="shared" si="56"/>
        <v/>
      </c>
      <c r="AH510" t="str">
        <f t="shared" si="57"/>
        <v/>
      </c>
      <c r="AI510" t="e">
        <f t="shared" si="58"/>
        <v>#N/A</v>
      </c>
      <c r="AJ510" s="6" t="e">
        <f t="shared" si="59"/>
        <v>#N/A</v>
      </c>
      <c r="AK510" s="19" t="e">
        <f t="shared" si="60"/>
        <v>#N/A</v>
      </c>
    </row>
    <row r="511" spans="33:37">
      <c r="AG511" s="41" t="str">
        <f t="shared" si="56"/>
        <v/>
      </c>
      <c r="AH511" t="str">
        <f t="shared" si="57"/>
        <v/>
      </c>
      <c r="AI511" t="e">
        <f t="shared" si="58"/>
        <v>#N/A</v>
      </c>
      <c r="AJ511" s="6" t="e">
        <f t="shared" si="59"/>
        <v>#N/A</v>
      </c>
      <c r="AK511" s="19" t="e">
        <f t="shared" si="60"/>
        <v>#N/A</v>
      </c>
    </row>
    <row r="512" spans="33:37">
      <c r="AG512" s="41" t="str">
        <f t="shared" si="56"/>
        <v/>
      </c>
      <c r="AH512" t="str">
        <f t="shared" si="57"/>
        <v/>
      </c>
      <c r="AI512" t="e">
        <f t="shared" si="58"/>
        <v>#N/A</v>
      </c>
      <c r="AJ512" s="6" t="e">
        <f t="shared" si="59"/>
        <v>#N/A</v>
      </c>
      <c r="AK512" s="19" t="e">
        <f t="shared" si="60"/>
        <v>#N/A</v>
      </c>
    </row>
    <row r="513" spans="33:37">
      <c r="AG513" s="41" t="str">
        <f t="shared" si="56"/>
        <v/>
      </c>
      <c r="AH513" t="str">
        <f t="shared" si="57"/>
        <v/>
      </c>
      <c r="AI513" t="e">
        <f t="shared" si="58"/>
        <v>#N/A</v>
      </c>
      <c r="AJ513" s="6" t="e">
        <f t="shared" si="59"/>
        <v>#N/A</v>
      </c>
      <c r="AK513" s="19" t="e">
        <f t="shared" si="60"/>
        <v>#N/A</v>
      </c>
    </row>
    <row r="514" spans="33:37">
      <c r="AG514" s="41" t="str">
        <f t="shared" si="56"/>
        <v/>
      </c>
      <c r="AH514" t="str">
        <f t="shared" si="57"/>
        <v/>
      </c>
      <c r="AI514" t="e">
        <f t="shared" si="58"/>
        <v>#N/A</v>
      </c>
      <c r="AJ514" s="6" t="e">
        <f t="shared" si="59"/>
        <v>#N/A</v>
      </c>
      <c r="AK514" s="19" t="e">
        <f t="shared" si="60"/>
        <v>#N/A</v>
      </c>
    </row>
    <row r="515" spans="33:37">
      <c r="AG515" s="41" t="str">
        <f t="shared" si="56"/>
        <v/>
      </c>
      <c r="AH515" t="str">
        <f t="shared" si="57"/>
        <v/>
      </c>
      <c r="AI515" t="e">
        <f t="shared" si="58"/>
        <v>#N/A</v>
      </c>
      <c r="AJ515" s="6" t="e">
        <f t="shared" si="59"/>
        <v>#N/A</v>
      </c>
      <c r="AK515" s="19" t="e">
        <f t="shared" si="60"/>
        <v>#N/A</v>
      </c>
    </row>
    <row r="516" spans="33:37">
      <c r="AG516" s="41" t="str">
        <f t="shared" si="56"/>
        <v/>
      </c>
      <c r="AH516" t="str">
        <f t="shared" si="57"/>
        <v/>
      </c>
      <c r="AI516" t="e">
        <f t="shared" si="58"/>
        <v>#N/A</v>
      </c>
      <c r="AJ516" s="6" t="e">
        <f t="shared" si="59"/>
        <v>#N/A</v>
      </c>
      <c r="AK516" s="19" t="e">
        <f t="shared" si="60"/>
        <v>#N/A</v>
      </c>
    </row>
    <row r="517" spans="33:37">
      <c r="AG517" s="41" t="str">
        <f t="shared" ref="AG517:AG580" si="61">IF(AG516&lt;$AF$4,AG516+1,"")</f>
        <v/>
      </c>
      <c r="AH517" t="str">
        <f t="shared" si="57"/>
        <v/>
      </c>
      <c r="AI517" t="e">
        <f t="shared" si="58"/>
        <v>#N/A</v>
      </c>
      <c r="AJ517" s="6" t="e">
        <f t="shared" si="59"/>
        <v>#N/A</v>
      </c>
      <c r="AK517" s="19" t="e">
        <f t="shared" si="60"/>
        <v>#N/A</v>
      </c>
    </row>
    <row r="518" spans="33:37">
      <c r="AG518" s="41" t="str">
        <f t="shared" si="61"/>
        <v/>
      </c>
      <c r="AH518" t="str">
        <f t="shared" si="57"/>
        <v/>
      </c>
      <c r="AI518" t="e">
        <f t="shared" si="58"/>
        <v>#N/A</v>
      </c>
      <c r="AJ518" s="6" t="e">
        <f t="shared" si="59"/>
        <v>#N/A</v>
      </c>
      <c r="AK518" s="19" t="e">
        <f t="shared" si="60"/>
        <v>#N/A</v>
      </c>
    </row>
    <row r="519" spans="33:37">
      <c r="AG519" s="41" t="str">
        <f t="shared" si="61"/>
        <v/>
      </c>
      <c r="AH519" t="str">
        <f t="shared" si="57"/>
        <v/>
      </c>
      <c r="AI519" t="e">
        <f t="shared" si="58"/>
        <v>#N/A</v>
      </c>
      <c r="AJ519" s="6" t="e">
        <f t="shared" si="59"/>
        <v>#N/A</v>
      </c>
      <c r="AK519" s="19" t="e">
        <f t="shared" si="60"/>
        <v>#N/A</v>
      </c>
    </row>
    <row r="520" spans="33:37">
      <c r="AG520" s="41" t="str">
        <f t="shared" si="61"/>
        <v/>
      </c>
      <c r="AH520" t="str">
        <f t="shared" si="57"/>
        <v/>
      </c>
      <c r="AI520" t="e">
        <f t="shared" si="58"/>
        <v>#N/A</v>
      </c>
      <c r="AJ520" s="6" t="e">
        <f t="shared" si="59"/>
        <v>#N/A</v>
      </c>
      <c r="AK520" s="19" t="e">
        <f t="shared" si="60"/>
        <v>#N/A</v>
      </c>
    </row>
    <row r="521" spans="33:37">
      <c r="AG521" s="41" t="str">
        <f t="shared" si="61"/>
        <v/>
      </c>
      <c r="AH521" t="str">
        <f t="shared" si="57"/>
        <v/>
      </c>
      <c r="AI521" t="e">
        <f t="shared" si="58"/>
        <v>#N/A</v>
      </c>
      <c r="AJ521" s="6" t="e">
        <f t="shared" si="59"/>
        <v>#N/A</v>
      </c>
      <c r="AK521" s="19" t="e">
        <f t="shared" si="60"/>
        <v>#N/A</v>
      </c>
    </row>
    <row r="522" spans="33:37">
      <c r="AG522" s="41" t="str">
        <f t="shared" si="61"/>
        <v/>
      </c>
      <c r="AH522" t="str">
        <f t="shared" si="57"/>
        <v/>
      </c>
      <c r="AI522" t="e">
        <f t="shared" si="58"/>
        <v>#N/A</v>
      </c>
      <c r="AJ522" s="6" t="e">
        <f t="shared" si="59"/>
        <v>#N/A</v>
      </c>
      <c r="AK522" s="19" t="e">
        <f t="shared" si="60"/>
        <v>#N/A</v>
      </c>
    </row>
    <row r="523" spans="33:37">
      <c r="AG523" s="41" t="str">
        <f t="shared" si="61"/>
        <v/>
      </c>
      <c r="AH523" t="str">
        <f t="shared" si="57"/>
        <v/>
      </c>
      <c r="AI523" t="e">
        <f t="shared" si="58"/>
        <v>#N/A</v>
      </c>
      <c r="AJ523" s="6" t="e">
        <f t="shared" si="59"/>
        <v>#N/A</v>
      </c>
      <c r="AK523" s="19" t="e">
        <f t="shared" si="60"/>
        <v>#N/A</v>
      </c>
    </row>
    <row r="524" spans="33:37">
      <c r="AG524" s="41" t="str">
        <f t="shared" si="61"/>
        <v/>
      </c>
      <c r="AH524" t="str">
        <f t="shared" si="57"/>
        <v/>
      </c>
      <c r="AI524" t="e">
        <f t="shared" si="58"/>
        <v>#N/A</v>
      </c>
      <c r="AJ524" s="6" t="e">
        <f t="shared" si="59"/>
        <v>#N/A</v>
      </c>
      <c r="AK524" s="19" t="e">
        <f t="shared" si="60"/>
        <v>#N/A</v>
      </c>
    </row>
    <row r="525" spans="33:37">
      <c r="AG525" s="41" t="str">
        <f t="shared" si="61"/>
        <v/>
      </c>
      <c r="AH525" t="str">
        <f t="shared" si="57"/>
        <v/>
      </c>
      <c r="AI525" t="e">
        <f t="shared" si="58"/>
        <v>#N/A</v>
      </c>
      <c r="AJ525" s="6" t="e">
        <f t="shared" si="59"/>
        <v>#N/A</v>
      </c>
      <c r="AK525" s="19" t="e">
        <f t="shared" si="60"/>
        <v>#N/A</v>
      </c>
    </row>
    <row r="526" spans="33:37">
      <c r="AG526" s="41" t="str">
        <f t="shared" si="61"/>
        <v/>
      </c>
      <c r="AH526" t="str">
        <f t="shared" si="57"/>
        <v/>
      </c>
      <c r="AI526" t="e">
        <f t="shared" si="58"/>
        <v>#N/A</v>
      </c>
      <c r="AJ526" s="6" t="e">
        <f t="shared" si="59"/>
        <v>#N/A</v>
      </c>
      <c r="AK526" s="19" t="e">
        <f t="shared" si="60"/>
        <v>#N/A</v>
      </c>
    </row>
    <row r="527" spans="33:37">
      <c r="AG527" s="41" t="str">
        <f t="shared" si="61"/>
        <v/>
      </c>
      <c r="AH527" t="str">
        <f t="shared" si="57"/>
        <v/>
      </c>
      <c r="AI527" t="e">
        <f t="shared" si="58"/>
        <v>#N/A</v>
      </c>
      <c r="AJ527" s="6" t="e">
        <f t="shared" si="59"/>
        <v>#N/A</v>
      </c>
      <c r="AK527" s="19" t="e">
        <f t="shared" si="60"/>
        <v>#N/A</v>
      </c>
    </row>
    <row r="528" spans="33:37">
      <c r="AG528" s="41" t="str">
        <f t="shared" si="61"/>
        <v/>
      </c>
      <c r="AH528" t="str">
        <f t="shared" si="57"/>
        <v/>
      </c>
      <c r="AI528" t="e">
        <f t="shared" si="58"/>
        <v>#N/A</v>
      </c>
      <c r="AJ528" s="6" t="e">
        <f t="shared" si="59"/>
        <v>#N/A</v>
      </c>
      <c r="AK528" s="19" t="e">
        <f t="shared" si="60"/>
        <v>#N/A</v>
      </c>
    </row>
    <row r="529" spans="33:37">
      <c r="AG529" s="41" t="str">
        <f t="shared" si="61"/>
        <v/>
      </c>
      <c r="AH529" t="str">
        <f t="shared" si="57"/>
        <v/>
      </c>
      <c r="AI529" t="e">
        <f t="shared" si="58"/>
        <v>#N/A</v>
      </c>
      <c r="AJ529" s="6" t="e">
        <f t="shared" si="59"/>
        <v>#N/A</v>
      </c>
      <c r="AK529" s="19" t="e">
        <f t="shared" si="60"/>
        <v>#N/A</v>
      </c>
    </row>
    <row r="530" spans="33:37">
      <c r="AG530" s="41" t="str">
        <f t="shared" si="61"/>
        <v/>
      </c>
      <c r="AH530" t="str">
        <f t="shared" si="57"/>
        <v/>
      </c>
      <c r="AI530" t="e">
        <f t="shared" si="58"/>
        <v>#N/A</v>
      </c>
      <c r="AJ530" s="6" t="e">
        <f t="shared" si="59"/>
        <v>#N/A</v>
      </c>
      <c r="AK530" s="19" t="e">
        <f t="shared" si="60"/>
        <v>#N/A</v>
      </c>
    </row>
    <row r="531" spans="33:37">
      <c r="AG531" s="41" t="str">
        <f t="shared" si="61"/>
        <v/>
      </c>
      <c r="AH531" t="str">
        <f t="shared" si="57"/>
        <v/>
      </c>
      <c r="AI531" t="e">
        <f t="shared" si="58"/>
        <v>#N/A</v>
      </c>
      <c r="AJ531" s="6" t="e">
        <f t="shared" si="59"/>
        <v>#N/A</v>
      </c>
      <c r="AK531" s="19" t="e">
        <f t="shared" si="60"/>
        <v>#N/A</v>
      </c>
    </row>
    <row r="532" spans="33:37">
      <c r="AG532" s="41" t="str">
        <f t="shared" si="61"/>
        <v/>
      </c>
      <c r="AH532" t="str">
        <f t="shared" si="57"/>
        <v/>
      </c>
      <c r="AI532" t="e">
        <f t="shared" si="58"/>
        <v>#N/A</v>
      </c>
      <c r="AJ532" s="6" t="e">
        <f t="shared" si="59"/>
        <v>#N/A</v>
      </c>
      <c r="AK532" s="19" t="e">
        <f t="shared" si="60"/>
        <v>#N/A</v>
      </c>
    </row>
    <row r="533" spans="33:37">
      <c r="AG533" s="41" t="str">
        <f t="shared" si="61"/>
        <v/>
      </c>
      <c r="AH533" t="str">
        <f t="shared" si="57"/>
        <v/>
      </c>
      <c r="AI533" t="e">
        <f t="shared" si="58"/>
        <v>#N/A</v>
      </c>
      <c r="AJ533" s="6" t="e">
        <f t="shared" si="59"/>
        <v>#N/A</v>
      </c>
      <c r="AK533" s="19" t="e">
        <f t="shared" si="60"/>
        <v>#N/A</v>
      </c>
    </row>
    <row r="534" spans="33:37">
      <c r="AG534" s="41" t="str">
        <f t="shared" si="61"/>
        <v/>
      </c>
      <c r="AH534" t="str">
        <f t="shared" si="57"/>
        <v/>
      </c>
      <c r="AI534" t="e">
        <f t="shared" si="58"/>
        <v>#N/A</v>
      </c>
      <c r="AJ534" s="6" t="e">
        <f t="shared" si="59"/>
        <v>#N/A</v>
      </c>
      <c r="AK534" s="19" t="e">
        <f t="shared" si="60"/>
        <v>#N/A</v>
      </c>
    </row>
    <row r="535" spans="33:37">
      <c r="AG535" s="41" t="str">
        <f t="shared" si="61"/>
        <v/>
      </c>
      <c r="AH535" t="str">
        <f t="shared" si="57"/>
        <v/>
      </c>
      <c r="AI535" t="e">
        <f t="shared" si="58"/>
        <v>#N/A</v>
      </c>
      <c r="AJ535" s="6" t="e">
        <f t="shared" si="59"/>
        <v>#N/A</v>
      </c>
      <c r="AK535" s="19" t="e">
        <f t="shared" si="60"/>
        <v>#N/A</v>
      </c>
    </row>
    <row r="536" spans="33:37">
      <c r="AG536" s="41" t="str">
        <f t="shared" si="61"/>
        <v/>
      </c>
      <c r="AH536" t="str">
        <f t="shared" si="57"/>
        <v/>
      </c>
      <c r="AI536" t="e">
        <f t="shared" si="58"/>
        <v>#N/A</v>
      </c>
      <c r="AJ536" s="6" t="e">
        <f t="shared" si="59"/>
        <v>#N/A</v>
      </c>
      <c r="AK536" s="19" t="e">
        <f t="shared" si="60"/>
        <v>#N/A</v>
      </c>
    </row>
    <row r="537" spans="33:37">
      <c r="AG537" s="41" t="str">
        <f t="shared" si="61"/>
        <v/>
      </c>
      <c r="AH537" t="str">
        <f t="shared" si="57"/>
        <v/>
      </c>
      <c r="AI537" t="e">
        <f t="shared" si="58"/>
        <v>#N/A</v>
      </c>
      <c r="AJ537" s="6" t="e">
        <f t="shared" si="59"/>
        <v>#N/A</v>
      </c>
      <c r="AK537" s="19" t="e">
        <f t="shared" si="60"/>
        <v>#N/A</v>
      </c>
    </row>
    <row r="538" spans="33:37">
      <c r="AG538" s="41" t="str">
        <f t="shared" si="61"/>
        <v/>
      </c>
      <c r="AH538" t="str">
        <f t="shared" si="57"/>
        <v/>
      </c>
      <c r="AI538" t="e">
        <f t="shared" si="58"/>
        <v>#N/A</v>
      </c>
      <c r="AJ538" s="6" t="e">
        <f t="shared" si="59"/>
        <v>#N/A</v>
      </c>
      <c r="AK538" s="19" t="e">
        <f t="shared" si="60"/>
        <v>#N/A</v>
      </c>
    </row>
    <row r="539" spans="33:37">
      <c r="AG539" s="41" t="str">
        <f t="shared" si="61"/>
        <v/>
      </c>
      <c r="AH539" t="str">
        <f t="shared" si="57"/>
        <v/>
      </c>
      <c r="AI539" t="e">
        <f t="shared" si="58"/>
        <v>#N/A</v>
      </c>
      <c r="AJ539" s="6" t="e">
        <f t="shared" si="59"/>
        <v>#N/A</v>
      </c>
      <c r="AK539" s="19" t="e">
        <f t="shared" si="60"/>
        <v>#N/A</v>
      </c>
    </row>
    <row r="540" spans="33:37">
      <c r="AG540" s="41" t="str">
        <f t="shared" si="61"/>
        <v/>
      </c>
      <c r="AH540" t="str">
        <f t="shared" si="57"/>
        <v/>
      </c>
      <c r="AI540" t="e">
        <f t="shared" si="58"/>
        <v>#N/A</v>
      </c>
      <c r="AJ540" s="6" t="e">
        <f t="shared" si="59"/>
        <v>#N/A</v>
      </c>
      <c r="AK540" s="19" t="e">
        <f t="shared" si="60"/>
        <v>#N/A</v>
      </c>
    </row>
    <row r="541" spans="33:37">
      <c r="AG541" s="41" t="str">
        <f t="shared" si="61"/>
        <v/>
      </c>
      <c r="AH541" t="str">
        <f t="shared" si="57"/>
        <v/>
      </c>
      <c r="AI541" t="e">
        <f t="shared" si="58"/>
        <v>#N/A</v>
      </c>
      <c r="AJ541" s="6" t="e">
        <f t="shared" si="59"/>
        <v>#N/A</v>
      </c>
      <c r="AK541" s="19" t="e">
        <f t="shared" si="60"/>
        <v>#N/A</v>
      </c>
    </row>
    <row r="542" spans="33:37">
      <c r="AG542" s="41" t="str">
        <f t="shared" si="61"/>
        <v/>
      </c>
      <c r="AH542" t="str">
        <f t="shared" si="57"/>
        <v/>
      </c>
      <c r="AI542" t="e">
        <f t="shared" si="58"/>
        <v>#N/A</v>
      </c>
      <c r="AJ542" s="6" t="e">
        <f t="shared" si="59"/>
        <v>#N/A</v>
      </c>
      <c r="AK542" s="19" t="e">
        <f t="shared" si="60"/>
        <v>#N/A</v>
      </c>
    </row>
    <row r="543" spans="33:37">
      <c r="AG543" s="41" t="str">
        <f t="shared" si="61"/>
        <v/>
      </c>
      <c r="AH543" t="str">
        <f t="shared" si="57"/>
        <v/>
      </c>
      <c r="AI543" t="e">
        <f t="shared" si="58"/>
        <v>#N/A</v>
      </c>
      <c r="AJ543" s="6" t="e">
        <f t="shared" si="59"/>
        <v>#N/A</v>
      </c>
      <c r="AK543" s="19" t="e">
        <f t="shared" si="60"/>
        <v>#N/A</v>
      </c>
    </row>
    <row r="544" spans="33:37">
      <c r="AG544" s="41" t="str">
        <f t="shared" si="61"/>
        <v/>
      </c>
      <c r="AH544" t="str">
        <f t="shared" si="57"/>
        <v/>
      </c>
      <c r="AI544" t="e">
        <f t="shared" si="58"/>
        <v>#N/A</v>
      </c>
      <c r="AJ544" s="6" t="e">
        <f t="shared" si="59"/>
        <v>#N/A</v>
      </c>
      <c r="AK544" s="19" t="e">
        <f t="shared" si="60"/>
        <v>#N/A</v>
      </c>
    </row>
    <row r="545" spans="33:37">
      <c r="AG545" s="41" t="str">
        <f t="shared" si="61"/>
        <v/>
      </c>
      <c r="AH545" t="str">
        <f t="shared" si="57"/>
        <v/>
      </c>
      <c r="AI545" t="e">
        <f t="shared" si="58"/>
        <v>#N/A</v>
      </c>
      <c r="AJ545" s="6" t="e">
        <f t="shared" si="59"/>
        <v>#N/A</v>
      </c>
      <c r="AK545" s="19" t="e">
        <f t="shared" si="60"/>
        <v>#N/A</v>
      </c>
    </row>
    <row r="546" spans="33:37">
      <c r="AG546" s="41" t="str">
        <f t="shared" si="61"/>
        <v/>
      </c>
      <c r="AH546" t="str">
        <f t="shared" si="57"/>
        <v/>
      </c>
      <c r="AI546" t="e">
        <f t="shared" si="58"/>
        <v>#N/A</v>
      </c>
      <c r="AJ546" s="6" t="e">
        <f t="shared" si="59"/>
        <v>#N/A</v>
      </c>
      <c r="AK546" s="19" t="e">
        <f t="shared" si="60"/>
        <v>#N/A</v>
      </c>
    </row>
    <row r="547" spans="33:37">
      <c r="AG547" s="41" t="str">
        <f t="shared" si="61"/>
        <v/>
      </c>
      <c r="AH547" t="str">
        <f t="shared" si="57"/>
        <v/>
      </c>
      <c r="AI547" t="e">
        <f t="shared" si="58"/>
        <v>#N/A</v>
      </c>
      <c r="AJ547" s="6" t="e">
        <f t="shared" si="59"/>
        <v>#N/A</v>
      </c>
      <c r="AK547" s="19" t="e">
        <f t="shared" si="60"/>
        <v>#N/A</v>
      </c>
    </row>
    <row r="548" spans="33:37">
      <c r="AG548" s="41" t="str">
        <f t="shared" si="61"/>
        <v/>
      </c>
      <c r="AH548" t="str">
        <f t="shared" si="57"/>
        <v/>
      </c>
      <c r="AI548" t="e">
        <f t="shared" si="58"/>
        <v>#N/A</v>
      </c>
      <c r="AJ548" s="6" t="e">
        <f t="shared" si="59"/>
        <v>#N/A</v>
      </c>
      <c r="AK548" s="19" t="e">
        <f t="shared" si="60"/>
        <v>#N/A</v>
      </c>
    </row>
    <row r="549" spans="33:37">
      <c r="AG549" s="41" t="str">
        <f t="shared" si="61"/>
        <v/>
      </c>
      <c r="AH549" t="str">
        <f t="shared" si="57"/>
        <v/>
      </c>
      <c r="AI549" t="e">
        <f t="shared" si="58"/>
        <v>#N/A</v>
      </c>
      <c r="AJ549" s="6" t="e">
        <f t="shared" si="59"/>
        <v>#N/A</v>
      </c>
      <c r="AK549" s="19" t="e">
        <f t="shared" si="60"/>
        <v>#N/A</v>
      </c>
    </row>
    <row r="550" spans="33:37">
      <c r="AG550" s="41" t="str">
        <f t="shared" si="61"/>
        <v/>
      </c>
      <c r="AH550" t="str">
        <f t="shared" si="57"/>
        <v/>
      </c>
      <c r="AI550" t="e">
        <f t="shared" si="58"/>
        <v>#N/A</v>
      </c>
      <c r="AJ550" s="6" t="e">
        <f t="shared" si="59"/>
        <v>#N/A</v>
      </c>
      <c r="AK550" s="19" t="e">
        <f t="shared" si="60"/>
        <v>#N/A</v>
      </c>
    </row>
    <row r="551" spans="33:37">
      <c r="AG551" s="41" t="str">
        <f t="shared" si="61"/>
        <v/>
      </c>
      <c r="AH551" t="str">
        <f t="shared" si="57"/>
        <v/>
      </c>
      <c r="AI551" t="e">
        <f t="shared" si="58"/>
        <v>#N/A</v>
      </c>
      <c r="AJ551" s="6" t="e">
        <f t="shared" si="59"/>
        <v>#N/A</v>
      </c>
      <c r="AK551" s="19" t="e">
        <f t="shared" si="60"/>
        <v>#N/A</v>
      </c>
    </row>
    <row r="552" spans="33:37">
      <c r="AG552" s="41" t="str">
        <f t="shared" si="61"/>
        <v/>
      </c>
      <c r="AH552" t="str">
        <f t="shared" si="57"/>
        <v/>
      </c>
      <c r="AI552" t="e">
        <f t="shared" si="58"/>
        <v>#N/A</v>
      </c>
      <c r="AJ552" s="6" t="e">
        <f t="shared" si="59"/>
        <v>#N/A</v>
      </c>
      <c r="AK552" s="19" t="e">
        <f t="shared" si="60"/>
        <v>#N/A</v>
      </c>
    </row>
    <row r="553" spans="33:37">
      <c r="AG553" s="41" t="str">
        <f t="shared" si="61"/>
        <v/>
      </c>
      <c r="AH553" t="str">
        <f t="shared" si="57"/>
        <v/>
      </c>
      <c r="AI553" t="e">
        <f t="shared" si="58"/>
        <v>#N/A</v>
      </c>
      <c r="AJ553" s="6" t="e">
        <f t="shared" si="59"/>
        <v>#N/A</v>
      </c>
      <c r="AK553" s="19" t="e">
        <f t="shared" si="60"/>
        <v>#N/A</v>
      </c>
    </row>
    <row r="554" spans="33:37">
      <c r="AG554" s="41" t="str">
        <f t="shared" si="61"/>
        <v/>
      </c>
      <c r="AH554" t="str">
        <f t="shared" si="57"/>
        <v/>
      </c>
      <c r="AI554" t="e">
        <f t="shared" si="58"/>
        <v>#N/A</v>
      </c>
      <c r="AJ554" s="6" t="e">
        <f t="shared" si="59"/>
        <v>#N/A</v>
      </c>
      <c r="AK554" s="19" t="e">
        <f t="shared" si="60"/>
        <v>#N/A</v>
      </c>
    </row>
    <row r="555" spans="33:37">
      <c r="AG555" s="41" t="str">
        <f t="shared" si="61"/>
        <v/>
      </c>
      <c r="AH555" t="str">
        <f t="shared" si="57"/>
        <v/>
      </c>
      <c r="AI555" t="e">
        <f t="shared" si="58"/>
        <v>#N/A</v>
      </c>
      <c r="AJ555" s="6" t="e">
        <f t="shared" si="59"/>
        <v>#N/A</v>
      </c>
      <c r="AK555" s="19" t="e">
        <f t="shared" si="60"/>
        <v>#N/A</v>
      </c>
    </row>
    <row r="556" spans="33:37">
      <c r="AG556" s="41" t="str">
        <f t="shared" si="61"/>
        <v/>
      </c>
      <c r="AH556" t="str">
        <f t="shared" si="57"/>
        <v/>
      </c>
      <c r="AI556" t="e">
        <f t="shared" si="58"/>
        <v>#N/A</v>
      </c>
      <c r="AJ556" s="6" t="e">
        <f t="shared" si="59"/>
        <v>#N/A</v>
      </c>
      <c r="AK556" s="19" t="e">
        <f t="shared" si="60"/>
        <v>#N/A</v>
      </c>
    </row>
    <row r="557" spans="33:37">
      <c r="AG557" s="41" t="str">
        <f t="shared" si="61"/>
        <v/>
      </c>
      <c r="AH557" t="str">
        <f t="shared" si="57"/>
        <v/>
      </c>
      <c r="AI557" t="e">
        <f t="shared" si="58"/>
        <v>#N/A</v>
      </c>
      <c r="AJ557" s="6" t="e">
        <f t="shared" si="59"/>
        <v>#N/A</v>
      </c>
      <c r="AK557" s="19" t="e">
        <f t="shared" si="60"/>
        <v>#N/A</v>
      </c>
    </row>
    <row r="558" spans="33:37">
      <c r="AG558" s="41" t="str">
        <f t="shared" si="61"/>
        <v/>
      </c>
      <c r="AH558" t="str">
        <f t="shared" si="57"/>
        <v/>
      </c>
      <c r="AI558" t="e">
        <f t="shared" si="58"/>
        <v>#N/A</v>
      </c>
      <c r="AJ558" s="6" t="e">
        <f t="shared" si="59"/>
        <v>#N/A</v>
      </c>
      <c r="AK558" s="19" t="e">
        <f t="shared" si="60"/>
        <v>#N/A</v>
      </c>
    </row>
    <row r="559" spans="33:37">
      <c r="AG559" s="41" t="str">
        <f t="shared" si="61"/>
        <v/>
      </c>
      <c r="AH559" t="str">
        <f t="shared" si="57"/>
        <v/>
      </c>
      <c r="AI559" t="e">
        <f t="shared" si="58"/>
        <v>#N/A</v>
      </c>
      <c r="AJ559" s="6" t="e">
        <f t="shared" si="59"/>
        <v>#N/A</v>
      </c>
      <c r="AK559" s="19" t="e">
        <f t="shared" si="60"/>
        <v>#N/A</v>
      </c>
    </row>
    <row r="560" spans="33:37">
      <c r="AG560" s="41" t="str">
        <f t="shared" si="61"/>
        <v/>
      </c>
      <c r="AH560" t="str">
        <f t="shared" si="57"/>
        <v/>
      </c>
      <c r="AI560" t="e">
        <f t="shared" si="58"/>
        <v>#N/A</v>
      </c>
      <c r="AJ560" s="6" t="e">
        <f t="shared" si="59"/>
        <v>#N/A</v>
      </c>
      <c r="AK560" s="19" t="e">
        <f t="shared" si="60"/>
        <v>#N/A</v>
      </c>
    </row>
    <row r="561" spans="33:37">
      <c r="AG561" s="41" t="str">
        <f t="shared" si="61"/>
        <v/>
      </c>
      <c r="AH561" t="str">
        <f t="shared" si="57"/>
        <v/>
      </c>
      <c r="AI561" t="e">
        <f t="shared" si="58"/>
        <v>#N/A</v>
      </c>
      <c r="AJ561" s="6" t="e">
        <f t="shared" si="59"/>
        <v>#N/A</v>
      </c>
      <c r="AK561" s="19" t="e">
        <f t="shared" si="60"/>
        <v>#N/A</v>
      </c>
    </row>
    <row r="562" spans="33:37">
      <c r="AG562" s="41" t="str">
        <f t="shared" si="61"/>
        <v/>
      </c>
      <c r="AH562" t="str">
        <f t="shared" si="57"/>
        <v/>
      </c>
      <c r="AI562" t="e">
        <f t="shared" si="58"/>
        <v>#N/A</v>
      </c>
      <c r="AJ562" s="6" t="e">
        <f t="shared" si="59"/>
        <v>#N/A</v>
      </c>
      <c r="AK562" s="19" t="e">
        <f t="shared" si="60"/>
        <v>#N/A</v>
      </c>
    </row>
    <row r="563" spans="33:37">
      <c r="AG563" s="41" t="str">
        <f t="shared" si="61"/>
        <v/>
      </c>
      <c r="AH563" t="str">
        <f t="shared" si="57"/>
        <v/>
      </c>
      <c r="AI563" t="e">
        <f t="shared" si="58"/>
        <v>#N/A</v>
      </c>
      <c r="AJ563" s="6" t="e">
        <f t="shared" si="59"/>
        <v>#N/A</v>
      </c>
      <c r="AK563" s="19" t="e">
        <f t="shared" si="60"/>
        <v>#N/A</v>
      </c>
    </row>
    <row r="564" spans="33:37">
      <c r="AG564" s="41" t="str">
        <f t="shared" si="61"/>
        <v/>
      </c>
      <c r="AH564" t="str">
        <f t="shared" si="57"/>
        <v/>
      </c>
      <c r="AI564" t="e">
        <f t="shared" si="58"/>
        <v>#N/A</v>
      </c>
      <c r="AJ564" s="6" t="e">
        <f t="shared" si="59"/>
        <v>#N/A</v>
      </c>
      <c r="AK564" s="19" t="e">
        <f t="shared" si="60"/>
        <v>#N/A</v>
      </c>
    </row>
    <row r="565" spans="33:37">
      <c r="AG565" s="41" t="str">
        <f t="shared" si="61"/>
        <v/>
      </c>
      <c r="AH565" t="str">
        <f t="shared" si="57"/>
        <v/>
      </c>
      <c r="AI565" t="e">
        <f t="shared" si="58"/>
        <v>#N/A</v>
      </c>
      <c r="AJ565" s="6" t="e">
        <f t="shared" si="59"/>
        <v>#N/A</v>
      </c>
      <c r="AK565" s="19" t="e">
        <f t="shared" si="60"/>
        <v>#N/A</v>
      </c>
    </row>
    <row r="566" spans="33:37">
      <c r="AG566" s="41" t="str">
        <f t="shared" si="61"/>
        <v/>
      </c>
      <c r="AH566" t="str">
        <f t="shared" si="57"/>
        <v/>
      </c>
      <c r="AI566" t="e">
        <f t="shared" si="58"/>
        <v>#N/A</v>
      </c>
      <c r="AJ566" s="6" t="e">
        <f t="shared" si="59"/>
        <v>#N/A</v>
      </c>
      <c r="AK566" s="19" t="e">
        <f t="shared" si="60"/>
        <v>#N/A</v>
      </c>
    </row>
    <row r="567" spans="33:37">
      <c r="AG567" s="41" t="str">
        <f t="shared" si="61"/>
        <v/>
      </c>
      <c r="AH567" t="str">
        <f t="shared" si="57"/>
        <v/>
      </c>
      <c r="AI567" t="e">
        <f t="shared" si="58"/>
        <v>#N/A</v>
      </c>
      <c r="AJ567" s="6" t="e">
        <f t="shared" si="59"/>
        <v>#N/A</v>
      </c>
      <c r="AK567" s="19" t="e">
        <f t="shared" si="60"/>
        <v>#N/A</v>
      </c>
    </row>
    <row r="568" spans="33:37">
      <c r="AG568" s="41" t="str">
        <f t="shared" si="61"/>
        <v/>
      </c>
      <c r="AH568" t="str">
        <f t="shared" si="57"/>
        <v/>
      </c>
      <c r="AI568" t="e">
        <f t="shared" si="58"/>
        <v>#N/A</v>
      </c>
      <c r="AJ568" s="6" t="e">
        <f t="shared" si="59"/>
        <v>#N/A</v>
      </c>
      <c r="AK568" s="19" t="e">
        <f t="shared" si="60"/>
        <v>#N/A</v>
      </c>
    </row>
    <row r="569" spans="33:37">
      <c r="AG569" s="41" t="str">
        <f t="shared" si="61"/>
        <v/>
      </c>
      <c r="AH569" t="str">
        <f t="shared" ref="AH569:AH632" si="62">IF(AG569&lt;&gt;"",MID($AE$4,AG569,1),"")</f>
        <v/>
      </c>
      <c r="AI569" t="e">
        <f t="shared" ref="AI569:AI632" si="63">IFERROR(VLOOKUP(AH569,$AA$4:$AB$13,2,0),VLOOKUP(AH569,$AC$4:$AD$13,2,0))</f>
        <v>#N/A</v>
      </c>
      <c r="AJ569" s="6" t="e">
        <f t="shared" ref="AJ569:AJ632" si="64">IF(AND(AI568="Rg",AI570="Rg"),"2Rg",IF(AND(AI568="Rg",AI570="Fx"),"RgFx",IF(AND(AI568="Fx",AI570="Rg"),"RgFx",IF(AND(AI568="Fx",AI570="Fx"),"2Fx",""))))</f>
        <v>#N/A</v>
      </c>
      <c r="AK569" s="19" t="e">
        <f t="shared" ref="AK569:AK632" si="65">IF(AJ569&lt;&gt;"",VLOOKUP(AJ569,mv,HLOOKUP(AH569,mh,2,0),0),"")</f>
        <v>#N/A</v>
      </c>
    </row>
    <row r="570" spans="33:37">
      <c r="AG570" s="41" t="str">
        <f t="shared" si="61"/>
        <v/>
      </c>
      <c r="AH570" t="str">
        <f t="shared" si="62"/>
        <v/>
      </c>
      <c r="AI570" t="e">
        <f t="shared" si="63"/>
        <v>#N/A</v>
      </c>
      <c r="AJ570" s="6" t="e">
        <f t="shared" si="64"/>
        <v>#N/A</v>
      </c>
      <c r="AK570" s="19" t="e">
        <f t="shared" si="65"/>
        <v>#N/A</v>
      </c>
    </row>
    <row r="571" spans="33:37">
      <c r="AG571" s="41" t="str">
        <f t="shared" si="61"/>
        <v/>
      </c>
      <c r="AH571" t="str">
        <f t="shared" si="62"/>
        <v/>
      </c>
      <c r="AI571" t="e">
        <f t="shared" si="63"/>
        <v>#N/A</v>
      </c>
      <c r="AJ571" s="6" t="e">
        <f t="shared" si="64"/>
        <v>#N/A</v>
      </c>
      <c r="AK571" s="19" t="e">
        <f t="shared" si="65"/>
        <v>#N/A</v>
      </c>
    </row>
    <row r="572" spans="33:37">
      <c r="AG572" s="41" t="str">
        <f t="shared" si="61"/>
        <v/>
      </c>
      <c r="AH572" t="str">
        <f t="shared" si="62"/>
        <v/>
      </c>
      <c r="AI572" t="e">
        <f t="shared" si="63"/>
        <v>#N/A</v>
      </c>
      <c r="AJ572" s="6" t="e">
        <f t="shared" si="64"/>
        <v>#N/A</v>
      </c>
      <c r="AK572" s="19" t="e">
        <f t="shared" si="65"/>
        <v>#N/A</v>
      </c>
    </row>
    <row r="573" spans="33:37">
      <c r="AG573" s="41" t="str">
        <f t="shared" si="61"/>
        <v/>
      </c>
      <c r="AH573" t="str">
        <f t="shared" si="62"/>
        <v/>
      </c>
      <c r="AI573" t="e">
        <f t="shared" si="63"/>
        <v>#N/A</v>
      </c>
      <c r="AJ573" s="6" t="e">
        <f t="shared" si="64"/>
        <v>#N/A</v>
      </c>
      <c r="AK573" s="19" t="e">
        <f t="shared" si="65"/>
        <v>#N/A</v>
      </c>
    </row>
    <row r="574" spans="33:37">
      <c r="AG574" s="41" t="str">
        <f t="shared" si="61"/>
        <v/>
      </c>
      <c r="AH574" t="str">
        <f t="shared" si="62"/>
        <v/>
      </c>
      <c r="AI574" t="e">
        <f t="shared" si="63"/>
        <v>#N/A</v>
      </c>
      <c r="AJ574" s="6" t="e">
        <f t="shared" si="64"/>
        <v>#N/A</v>
      </c>
      <c r="AK574" s="19" t="e">
        <f t="shared" si="65"/>
        <v>#N/A</v>
      </c>
    </row>
    <row r="575" spans="33:37">
      <c r="AG575" s="41" t="str">
        <f t="shared" si="61"/>
        <v/>
      </c>
      <c r="AH575" t="str">
        <f t="shared" si="62"/>
        <v/>
      </c>
      <c r="AI575" t="e">
        <f t="shared" si="63"/>
        <v>#N/A</v>
      </c>
      <c r="AJ575" s="6" t="e">
        <f t="shared" si="64"/>
        <v>#N/A</v>
      </c>
      <c r="AK575" s="19" t="e">
        <f t="shared" si="65"/>
        <v>#N/A</v>
      </c>
    </row>
    <row r="576" spans="33:37">
      <c r="AG576" s="41" t="str">
        <f t="shared" si="61"/>
        <v/>
      </c>
      <c r="AH576" t="str">
        <f t="shared" si="62"/>
        <v/>
      </c>
      <c r="AI576" t="e">
        <f t="shared" si="63"/>
        <v>#N/A</v>
      </c>
      <c r="AJ576" s="6" t="e">
        <f t="shared" si="64"/>
        <v>#N/A</v>
      </c>
      <c r="AK576" s="19" t="e">
        <f t="shared" si="65"/>
        <v>#N/A</v>
      </c>
    </row>
    <row r="577" spans="33:37">
      <c r="AG577" s="41" t="str">
        <f t="shared" si="61"/>
        <v/>
      </c>
      <c r="AH577" t="str">
        <f t="shared" si="62"/>
        <v/>
      </c>
      <c r="AI577" t="e">
        <f t="shared" si="63"/>
        <v>#N/A</v>
      </c>
      <c r="AJ577" s="6" t="e">
        <f t="shared" si="64"/>
        <v>#N/A</v>
      </c>
      <c r="AK577" s="19" t="e">
        <f t="shared" si="65"/>
        <v>#N/A</v>
      </c>
    </row>
    <row r="578" spans="33:37">
      <c r="AG578" s="41" t="str">
        <f t="shared" si="61"/>
        <v/>
      </c>
      <c r="AH578" t="str">
        <f t="shared" si="62"/>
        <v/>
      </c>
      <c r="AI578" t="e">
        <f t="shared" si="63"/>
        <v>#N/A</v>
      </c>
      <c r="AJ578" s="6" t="e">
        <f t="shared" si="64"/>
        <v>#N/A</v>
      </c>
      <c r="AK578" s="19" t="e">
        <f t="shared" si="65"/>
        <v>#N/A</v>
      </c>
    </row>
    <row r="579" spans="33:37">
      <c r="AG579" s="41" t="str">
        <f t="shared" si="61"/>
        <v/>
      </c>
      <c r="AH579" t="str">
        <f t="shared" si="62"/>
        <v/>
      </c>
      <c r="AI579" t="e">
        <f t="shared" si="63"/>
        <v>#N/A</v>
      </c>
      <c r="AJ579" s="6" t="e">
        <f t="shared" si="64"/>
        <v>#N/A</v>
      </c>
      <c r="AK579" s="19" t="e">
        <f t="shared" si="65"/>
        <v>#N/A</v>
      </c>
    </row>
    <row r="580" spans="33:37">
      <c r="AG580" s="41" t="str">
        <f t="shared" si="61"/>
        <v/>
      </c>
      <c r="AH580" t="str">
        <f t="shared" si="62"/>
        <v/>
      </c>
      <c r="AI580" t="e">
        <f t="shared" si="63"/>
        <v>#N/A</v>
      </c>
      <c r="AJ580" s="6" t="e">
        <f t="shared" si="64"/>
        <v>#N/A</v>
      </c>
      <c r="AK580" s="19" t="e">
        <f t="shared" si="65"/>
        <v>#N/A</v>
      </c>
    </row>
    <row r="581" spans="33:37">
      <c r="AG581" s="41" t="str">
        <f t="shared" ref="AG581:AG644" si="66">IF(AG580&lt;$AF$4,AG580+1,"")</f>
        <v/>
      </c>
      <c r="AH581" t="str">
        <f t="shared" si="62"/>
        <v/>
      </c>
      <c r="AI581" t="e">
        <f t="shared" si="63"/>
        <v>#N/A</v>
      </c>
      <c r="AJ581" s="6" t="e">
        <f t="shared" si="64"/>
        <v>#N/A</v>
      </c>
      <c r="AK581" s="19" t="e">
        <f t="shared" si="65"/>
        <v>#N/A</v>
      </c>
    </row>
    <row r="582" spans="33:37">
      <c r="AG582" s="41" t="str">
        <f t="shared" si="66"/>
        <v/>
      </c>
      <c r="AH582" t="str">
        <f t="shared" si="62"/>
        <v/>
      </c>
      <c r="AI582" t="e">
        <f t="shared" si="63"/>
        <v>#N/A</v>
      </c>
      <c r="AJ582" s="6" t="e">
        <f t="shared" si="64"/>
        <v>#N/A</v>
      </c>
      <c r="AK582" s="19" t="e">
        <f t="shared" si="65"/>
        <v>#N/A</v>
      </c>
    </row>
    <row r="583" spans="33:37">
      <c r="AG583" s="41" t="str">
        <f t="shared" si="66"/>
        <v/>
      </c>
      <c r="AH583" t="str">
        <f t="shared" si="62"/>
        <v/>
      </c>
      <c r="AI583" t="e">
        <f t="shared" si="63"/>
        <v>#N/A</v>
      </c>
      <c r="AJ583" s="6" t="e">
        <f t="shared" si="64"/>
        <v>#N/A</v>
      </c>
      <c r="AK583" s="19" t="e">
        <f t="shared" si="65"/>
        <v>#N/A</v>
      </c>
    </row>
    <row r="584" spans="33:37">
      <c r="AG584" s="41" t="str">
        <f t="shared" si="66"/>
        <v/>
      </c>
      <c r="AH584" t="str">
        <f t="shared" si="62"/>
        <v/>
      </c>
      <c r="AI584" t="e">
        <f t="shared" si="63"/>
        <v>#N/A</v>
      </c>
      <c r="AJ584" s="6" t="e">
        <f t="shared" si="64"/>
        <v>#N/A</v>
      </c>
      <c r="AK584" s="19" t="e">
        <f t="shared" si="65"/>
        <v>#N/A</v>
      </c>
    </row>
    <row r="585" spans="33:37">
      <c r="AG585" s="41" t="str">
        <f t="shared" si="66"/>
        <v/>
      </c>
      <c r="AH585" t="str">
        <f t="shared" si="62"/>
        <v/>
      </c>
      <c r="AI585" t="e">
        <f t="shared" si="63"/>
        <v>#N/A</v>
      </c>
      <c r="AJ585" s="6" t="e">
        <f t="shared" si="64"/>
        <v>#N/A</v>
      </c>
      <c r="AK585" s="19" t="e">
        <f t="shared" si="65"/>
        <v>#N/A</v>
      </c>
    </row>
    <row r="586" spans="33:37">
      <c r="AG586" s="41" t="str">
        <f t="shared" si="66"/>
        <v/>
      </c>
      <c r="AH586" t="str">
        <f t="shared" si="62"/>
        <v/>
      </c>
      <c r="AI586" t="e">
        <f t="shared" si="63"/>
        <v>#N/A</v>
      </c>
      <c r="AJ586" s="6" t="e">
        <f t="shared" si="64"/>
        <v>#N/A</v>
      </c>
      <c r="AK586" s="19" t="e">
        <f t="shared" si="65"/>
        <v>#N/A</v>
      </c>
    </row>
    <row r="587" spans="33:37">
      <c r="AG587" s="41" t="str">
        <f t="shared" si="66"/>
        <v/>
      </c>
      <c r="AH587" t="str">
        <f t="shared" si="62"/>
        <v/>
      </c>
      <c r="AI587" t="e">
        <f t="shared" si="63"/>
        <v>#N/A</v>
      </c>
      <c r="AJ587" s="6" t="e">
        <f t="shared" si="64"/>
        <v>#N/A</v>
      </c>
      <c r="AK587" s="19" t="e">
        <f t="shared" si="65"/>
        <v>#N/A</v>
      </c>
    </row>
    <row r="588" spans="33:37">
      <c r="AG588" s="41" t="str">
        <f t="shared" si="66"/>
        <v/>
      </c>
      <c r="AH588" t="str">
        <f t="shared" si="62"/>
        <v/>
      </c>
      <c r="AI588" t="e">
        <f t="shared" si="63"/>
        <v>#N/A</v>
      </c>
      <c r="AJ588" s="6" t="e">
        <f t="shared" si="64"/>
        <v>#N/A</v>
      </c>
      <c r="AK588" s="19" t="e">
        <f t="shared" si="65"/>
        <v>#N/A</v>
      </c>
    </row>
    <row r="589" spans="33:37">
      <c r="AG589" s="41" t="str">
        <f t="shared" si="66"/>
        <v/>
      </c>
      <c r="AH589" t="str">
        <f t="shared" si="62"/>
        <v/>
      </c>
      <c r="AI589" t="e">
        <f t="shared" si="63"/>
        <v>#N/A</v>
      </c>
      <c r="AJ589" s="6" t="e">
        <f t="shared" si="64"/>
        <v>#N/A</v>
      </c>
      <c r="AK589" s="19" t="e">
        <f t="shared" si="65"/>
        <v>#N/A</v>
      </c>
    </row>
    <row r="590" spans="33:37">
      <c r="AG590" s="41" t="str">
        <f t="shared" si="66"/>
        <v/>
      </c>
      <c r="AH590" t="str">
        <f t="shared" si="62"/>
        <v/>
      </c>
      <c r="AI590" t="e">
        <f t="shared" si="63"/>
        <v>#N/A</v>
      </c>
      <c r="AJ590" s="6" t="e">
        <f t="shared" si="64"/>
        <v>#N/A</v>
      </c>
      <c r="AK590" s="19" t="e">
        <f t="shared" si="65"/>
        <v>#N/A</v>
      </c>
    </row>
    <row r="591" spans="33:37">
      <c r="AG591" s="41" t="str">
        <f t="shared" si="66"/>
        <v/>
      </c>
      <c r="AH591" t="str">
        <f t="shared" si="62"/>
        <v/>
      </c>
      <c r="AI591" t="e">
        <f t="shared" si="63"/>
        <v>#N/A</v>
      </c>
      <c r="AJ591" s="6" t="e">
        <f t="shared" si="64"/>
        <v>#N/A</v>
      </c>
      <c r="AK591" s="19" t="e">
        <f t="shared" si="65"/>
        <v>#N/A</v>
      </c>
    </row>
    <row r="592" spans="33:37">
      <c r="AG592" s="41" t="str">
        <f t="shared" si="66"/>
        <v/>
      </c>
      <c r="AH592" t="str">
        <f t="shared" si="62"/>
        <v/>
      </c>
      <c r="AI592" t="e">
        <f t="shared" si="63"/>
        <v>#N/A</v>
      </c>
      <c r="AJ592" s="6" t="e">
        <f t="shared" si="64"/>
        <v>#N/A</v>
      </c>
      <c r="AK592" s="19" t="e">
        <f t="shared" si="65"/>
        <v>#N/A</v>
      </c>
    </row>
    <row r="593" spans="33:37">
      <c r="AG593" s="41" t="str">
        <f t="shared" si="66"/>
        <v/>
      </c>
      <c r="AH593" t="str">
        <f t="shared" si="62"/>
        <v/>
      </c>
      <c r="AI593" t="e">
        <f t="shared" si="63"/>
        <v>#N/A</v>
      </c>
      <c r="AJ593" s="6" t="e">
        <f t="shared" si="64"/>
        <v>#N/A</v>
      </c>
      <c r="AK593" s="19" t="e">
        <f t="shared" si="65"/>
        <v>#N/A</v>
      </c>
    </row>
    <row r="594" spans="33:37">
      <c r="AG594" s="41" t="str">
        <f t="shared" si="66"/>
        <v/>
      </c>
      <c r="AH594" t="str">
        <f t="shared" si="62"/>
        <v/>
      </c>
      <c r="AI594" t="e">
        <f t="shared" si="63"/>
        <v>#N/A</v>
      </c>
      <c r="AJ594" s="6" t="e">
        <f t="shared" si="64"/>
        <v>#N/A</v>
      </c>
      <c r="AK594" s="19" t="e">
        <f t="shared" si="65"/>
        <v>#N/A</v>
      </c>
    </row>
    <row r="595" spans="33:37">
      <c r="AG595" s="41" t="str">
        <f t="shared" si="66"/>
        <v/>
      </c>
      <c r="AH595" t="str">
        <f t="shared" si="62"/>
        <v/>
      </c>
      <c r="AI595" t="e">
        <f t="shared" si="63"/>
        <v>#N/A</v>
      </c>
      <c r="AJ595" s="6" t="e">
        <f t="shared" si="64"/>
        <v>#N/A</v>
      </c>
      <c r="AK595" s="19" t="e">
        <f t="shared" si="65"/>
        <v>#N/A</v>
      </c>
    </row>
    <row r="596" spans="33:37">
      <c r="AG596" s="41" t="str">
        <f t="shared" si="66"/>
        <v/>
      </c>
      <c r="AH596" t="str">
        <f t="shared" si="62"/>
        <v/>
      </c>
      <c r="AI596" t="e">
        <f t="shared" si="63"/>
        <v>#N/A</v>
      </c>
      <c r="AJ596" s="6" t="e">
        <f t="shared" si="64"/>
        <v>#N/A</v>
      </c>
      <c r="AK596" s="19" t="e">
        <f t="shared" si="65"/>
        <v>#N/A</v>
      </c>
    </row>
    <row r="597" spans="33:37">
      <c r="AG597" s="41" t="str">
        <f t="shared" si="66"/>
        <v/>
      </c>
      <c r="AH597" t="str">
        <f t="shared" si="62"/>
        <v/>
      </c>
      <c r="AI597" t="e">
        <f t="shared" si="63"/>
        <v>#N/A</v>
      </c>
      <c r="AJ597" s="6" t="e">
        <f t="shared" si="64"/>
        <v>#N/A</v>
      </c>
      <c r="AK597" s="19" t="e">
        <f t="shared" si="65"/>
        <v>#N/A</v>
      </c>
    </row>
    <row r="598" spans="33:37">
      <c r="AG598" s="41" t="str">
        <f t="shared" si="66"/>
        <v/>
      </c>
      <c r="AH598" t="str">
        <f t="shared" si="62"/>
        <v/>
      </c>
      <c r="AI598" t="e">
        <f t="shared" si="63"/>
        <v>#N/A</v>
      </c>
      <c r="AJ598" s="6" t="e">
        <f t="shared" si="64"/>
        <v>#N/A</v>
      </c>
      <c r="AK598" s="19" t="e">
        <f t="shared" si="65"/>
        <v>#N/A</v>
      </c>
    </row>
    <row r="599" spans="33:37">
      <c r="AG599" s="41" t="str">
        <f t="shared" si="66"/>
        <v/>
      </c>
      <c r="AH599" t="str">
        <f t="shared" si="62"/>
        <v/>
      </c>
      <c r="AI599" t="e">
        <f t="shared" si="63"/>
        <v>#N/A</v>
      </c>
      <c r="AJ599" s="6" t="e">
        <f t="shared" si="64"/>
        <v>#N/A</v>
      </c>
      <c r="AK599" s="19" t="e">
        <f t="shared" si="65"/>
        <v>#N/A</v>
      </c>
    </row>
    <row r="600" spans="33:37">
      <c r="AG600" s="41" t="str">
        <f t="shared" si="66"/>
        <v/>
      </c>
      <c r="AH600" t="str">
        <f t="shared" si="62"/>
        <v/>
      </c>
      <c r="AI600" t="e">
        <f t="shared" si="63"/>
        <v>#N/A</v>
      </c>
      <c r="AJ600" s="6" t="e">
        <f t="shared" si="64"/>
        <v>#N/A</v>
      </c>
      <c r="AK600" s="19" t="e">
        <f t="shared" si="65"/>
        <v>#N/A</v>
      </c>
    </row>
    <row r="601" spans="33:37">
      <c r="AG601" s="41" t="str">
        <f t="shared" si="66"/>
        <v/>
      </c>
      <c r="AH601" t="str">
        <f t="shared" si="62"/>
        <v/>
      </c>
      <c r="AI601" t="e">
        <f t="shared" si="63"/>
        <v>#N/A</v>
      </c>
      <c r="AJ601" s="6" t="e">
        <f t="shared" si="64"/>
        <v>#N/A</v>
      </c>
      <c r="AK601" s="19" t="e">
        <f t="shared" si="65"/>
        <v>#N/A</v>
      </c>
    </row>
    <row r="602" spans="33:37">
      <c r="AG602" s="41" t="str">
        <f t="shared" si="66"/>
        <v/>
      </c>
      <c r="AH602" t="str">
        <f t="shared" si="62"/>
        <v/>
      </c>
      <c r="AI602" t="e">
        <f t="shared" si="63"/>
        <v>#N/A</v>
      </c>
      <c r="AJ602" s="6" t="e">
        <f t="shared" si="64"/>
        <v>#N/A</v>
      </c>
      <c r="AK602" s="19" t="e">
        <f t="shared" si="65"/>
        <v>#N/A</v>
      </c>
    </row>
    <row r="603" spans="33:37">
      <c r="AG603" s="41" t="str">
        <f t="shared" si="66"/>
        <v/>
      </c>
      <c r="AH603" t="str">
        <f t="shared" si="62"/>
        <v/>
      </c>
      <c r="AI603" t="e">
        <f t="shared" si="63"/>
        <v>#N/A</v>
      </c>
      <c r="AJ603" s="6" t="e">
        <f t="shared" si="64"/>
        <v>#N/A</v>
      </c>
      <c r="AK603" s="19" t="e">
        <f t="shared" si="65"/>
        <v>#N/A</v>
      </c>
    </row>
    <row r="604" spans="33:37">
      <c r="AG604" s="41" t="str">
        <f t="shared" si="66"/>
        <v/>
      </c>
      <c r="AH604" t="str">
        <f t="shared" si="62"/>
        <v/>
      </c>
      <c r="AI604" t="e">
        <f t="shared" si="63"/>
        <v>#N/A</v>
      </c>
      <c r="AJ604" s="6" t="e">
        <f t="shared" si="64"/>
        <v>#N/A</v>
      </c>
      <c r="AK604" s="19" t="e">
        <f t="shared" si="65"/>
        <v>#N/A</v>
      </c>
    </row>
    <row r="605" spans="33:37">
      <c r="AG605" s="41" t="str">
        <f t="shared" si="66"/>
        <v/>
      </c>
      <c r="AH605" t="str">
        <f t="shared" si="62"/>
        <v/>
      </c>
      <c r="AI605" t="e">
        <f t="shared" si="63"/>
        <v>#N/A</v>
      </c>
      <c r="AJ605" s="6" t="e">
        <f t="shared" si="64"/>
        <v>#N/A</v>
      </c>
      <c r="AK605" s="19" t="e">
        <f t="shared" si="65"/>
        <v>#N/A</v>
      </c>
    </row>
    <row r="606" spans="33:37">
      <c r="AG606" s="41" t="str">
        <f t="shared" si="66"/>
        <v/>
      </c>
      <c r="AH606" t="str">
        <f t="shared" si="62"/>
        <v/>
      </c>
      <c r="AI606" t="e">
        <f t="shared" si="63"/>
        <v>#N/A</v>
      </c>
      <c r="AJ606" s="6" t="e">
        <f t="shared" si="64"/>
        <v>#N/A</v>
      </c>
      <c r="AK606" s="19" t="e">
        <f t="shared" si="65"/>
        <v>#N/A</v>
      </c>
    </row>
    <row r="607" spans="33:37">
      <c r="AG607" s="41" t="str">
        <f t="shared" si="66"/>
        <v/>
      </c>
      <c r="AH607" t="str">
        <f t="shared" si="62"/>
        <v/>
      </c>
      <c r="AI607" t="e">
        <f t="shared" si="63"/>
        <v>#N/A</v>
      </c>
      <c r="AJ607" s="6" t="e">
        <f t="shared" si="64"/>
        <v>#N/A</v>
      </c>
      <c r="AK607" s="19" t="e">
        <f t="shared" si="65"/>
        <v>#N/A</v>
      </c>
    </row>
    <row r="608" spans="33:37">
      <c r="AG608" s="41" t="str">
        <f t="shared" si="66"/>
        <v/>
      </c>
      <c r="AH608" t="str">
        <f t="shared" si="62"/>
        <v/>
      </c>
      <c r="AI608" t="e">
        <f t="shared" si="63"/>
        <v>#N/A</v>
      </c>
      <c r="AJ608" s="6" t="e">
        <f t="shared" si="64"/>
        <v>#N/A</v>
      </c>
      <c r="AK608" s="19" t="e">
        <f t="shared" si="65"/>
        <v>#N/A</v>
      </c>
    </row>
    <row r="609" spans="33:37">
      <c r="AG609" s="41" t="str">
        <f t="shared" si="66"/>
        <v/>
      </c>
      <c r="AH609" t="str">
        <f t="shared" si="62"/>
        <v/>
      </c>
      <c r="AI609" t="e">
        <f t="shared" si="63"/>
        <v>#N/A</v>
      </c>
      <c r="AJ609" s="6" t="e">
        <f t="shared" si="64"/>
        <v>#N/A</v>
      </c>
      <c r="AK609" s="19" t="e">
        <f t="shared" si="65"/>
        <v>#N/A</v>
      </c>
    </row>
    <row r="610" spans="33:37">
      <c r="AG610" s="41" t="str">
        <f t="shared" si="66"/>
        <v/>
      </c>
      <c r="AH610" t="str">
        <f t="shared" si="62"/>
        <v/>
      </c>
      <c r="AI610" t="e">
        <f t="shared" si="63"/>
        <v>#N/A</v>
      </c>
      <c r="AJ610" s="6" t="e">
        <f t="shared" si="64"/>
        <v>#N/A</v>
      </c>
      <c r="AK610" s="19" t="e">
        <f t="shared" si="65"/>
        <v>#N/A</v>
      </c>
    </row>
    <row r="611" spans="33:37">
      <c r="AG611" s="41" t="str">
        <f t="shared" si="66"/>
        <v/>
      </c>
      <c r="AH611" t="str">
        <f t="shared" si="62"/>
        <v/>
      </c>
      <c r="AI611" t="e">
        <f t="shared" si="63"/>
        <v>#N/A</v>
      </c>
      <c r="AJ611" s="6" t="e">
        <f t="shared" si="64"/>
        <v>#N/A</v>
      </c>
      <c r="AK611" s="19" t="e">
        <f t="shared" si="65"/>
        <v>#N/A</v>
      </c>
    </row>
    <row r="612" spans="33:37">
      <c r="AG612" s="41" t="str">
        <f t="shared" si="66"/>
        <v/>
      </c>
      <c r="AH612" t="str">
        <f t="shared" si="62"/>
        <v/>
      </c>
      <c r="AI612" t="e">
        <f t="shared" si="63"/>
        <v>#N/A</v>
      </c>
      <c r="AJ612" s="6" t="e">
        <f t="shared" si="64"/>
        <v>#N/A</v>
      </c>
      <c r="AK612" s="19" t="e">
        <f t="shared" si="65"/>
        <v>#N/A</v>
      </c>
    </row>
    <row r="613" spans="33:37">
      <c r="AG613" s="41" t="str">
        <f t="shared" si="66"/>
        <v/>
      </c>
      <c r="AH613" t="str">
        <f t="shared" si="62"/>
        <v/>
      </c>
      <c r="AI613" t="e">
        <f t="shared" si="63"/>
        <v>#N/A</v>
      </c>
      <c r="AJ613" s="6" t="e">
        <f t="shared" si="64"/>
        <v>#N/A</v>
      </c>
      <c r="AK613" s="19" t="e">
        <f t="shared" si="65"/>
        <v>#N/A</v>
      </c>
    </row>
    <row r="614" spans="33:37">
      <c r="AG614" s="41" t="str">
        <f t="shared" si="66"/>
        <v/>
      </c>
      <c r="AH614" t="str">
        <f t="shared" si="62"/>
        <v/>
      </c>
      <c r="AI614" t="e">
        <f t="shared" si="63"/>
        <v>#N/A</v>
      </c>
      <c r="AJ614" s="6" t="e">
        <f t="shared" si="64"/>
        <v>#N/A</v>
      </c>
      <c r="AK614" s="19" t="e">
        <f t="shared" si="65"/>
        <v>#N/A</v>
      </c>
    </row>
    <row r="615" spans="33:37">
      <c r="AG615" s="41" t="str">
        <f t="shared" si="66"/>
        <v/>
      </c>
      <c r="AH615" t="str">
        <f t="shared" si="62"/>
        <v/>
      </c>
      <c r="AI615" t="e">
        <f t="shared" si="63"/>
        <v>#N/A</v>
      </c>
      <c r="AJ615" s="6" t="e">
        <f t="shared" si="64"/>
        <v>#N/A</v>
      </c>
      <c r="AK615" s="19" t="e">
        <f t="shared" si="65"/>
        <v>#N/A</v>
      </c>
    </row>
    <row r="616" spans="33:37">
      <c r="AG616" s="41" t="str">
        <f t="shared" si="66"/>
        <v/>
      </c>
      <c r="AH616" t="str">
        <f t="shared" si="62"/>
        <v/>
      </c>
      <c r="AI616" t="e">
        <f t="shared" si="63"/>
        <v>#N/A</v>
      </c>
      <c r="AJ616" s="6" t="e">
        <f t="shared" si="64"/>
        <v>#N/A</v>
      </c>
      <c r="AK616" s="19" t="e">
        <f t="shared" si="65"/>
        <v>#N/A</v>
      </c>
    </row>
    <row r="617" spans="33:37">
      <c r="AG617" s="41" t="str">
        <f t="shared" si="66"/>
        <v/>
      </c>
      <c r="AH617" t="str">
        <f t="shared" si="62"/>
        <v/>
      </c>
      <c r="AI617" t="e">
        <f t="shared" si="63"/>
        <v>#N/A</v>
      </c>
      <c r="AJ617" s="6" t="e">
        <f t="shared" si="64"/>
        <v>#N/A</v>
      </c>
      <c r="AK617" s="19" t="e">
        <f t="shared" si="65"/>
        <v>#N/A</v>
      </c>
    </row>
    <row r="618" spans="33:37">
      <c r="AG618" s="41" t="str">
        <f t="shared" si="66"/>
        <v/>
      </c>
      <c r="AH618" t="str">
        <f t="shared" si="62"/>
        <v/>
      </c>
      <c r="AI618" t="e">
        <f t="shared" si="63"/>
        <v>#N/A</v>
      </c>
      <c r="AJ618" s="6" t="e">
        <f t="shared" si="64"/>
        <v>#N/A</v>
      </c>
      <c r="AK618" s="19" t="e">
        <f t="shared" si="65"/>
        <v>#N/A</v>
      </c>
    </row>
    <row r="619" spans="33:37">
      <c r="AG619" s="41" t="str">
        <f t="shared" si="66"/>
        <v/>
      </c>
      <c r="AH619" t="str">
        <f t="shared" si="62"/>
        <v/>
      </c>
      <c r="AI619" t="e">
        <f t="shared" si="63"/>
        <v>#N/A</v>
      </c>
      <c r="AJ619" s="6" t="e">
        <f t="shared" si="64"/>
        <v>#N/A</v>
      </c>
      <c r="AK619" s="19" t="e">
        <f t="shared" si="65"/>
        <v>#N/A</v>
      </c>
    </row>
    <row r="620" spans="33:37">
      <c r="AG620" s="41" t="str">
        <f t="shared" si="66"/>
        <v/>
      </c>
      <c r="AH620" t="str">
        <f t="shared" si="62"/>
        <v/>
      </c>
      <c r="AI620" t="e">
        <f t="shared" si="63"/>
        <v>#N/A</v>
      </c>
      <c r="AJ620" s="6" t="e">
        <f t="shared" si="64"/>
        <v>#N/A</v>
      </c>
      <c r="AK620" s="19" t="e">
        <f t="shared" si="65"/>
        <v>#N/A</v>
      </c>
    </row>
    <row r="621" spans="33:37">
      <c r="AG621" s="41" t="str">
        <f t="shared" si="66"/>
        <v/>
      </c>
      <c r="AH621" t="str">
        <f t="shared" si="62"/>
        <v/>
      </c>
      <c r="AI621" t="e">
        <f t="shared" si="63"/>
        <v>#N/A</v>
      </c>
      <c r="AJ621" s="6" t="e">
        <f t="shared" si="64"/>
        <v>#N/A</v>
      </c>
      <c r="AK621" s="19" t="e">
        <f t="shared" si="65"/>
        <v>#N/A</v>
      </c>
    </row>
    <row r="622" spans="33:37">
      <c r="AG622" s="41" t="str">
        <f t="shared" si="66"/>
        <v/>
      </c>
      <c r="AH622" t="str">
        <f t="shared" si="62"/>
        <v/>
      </c>
      <c r="AI622" t="e">
        <f t="shared" si="63"/>
        <v>#N/A</v>
      </c>
      <c r="AJ622" s="6" t="e">
        <f t="shared" si="64"/>
        <v>#N/A</v>
      </c>
      <c r="AK622" s="19" t="e">
        <f t="shared" si="65"/>
        <v>#N/A</v>
      </c>
    </row>
    <row r="623" spans="33:37">
      <c r="AG623" s="41" t="str">
        <f t="shared" si="66"/>
        <v/>
      </c>
      <c r="AH623" t="str">
        <f t="shared" si="62"/>
        <v/>
      </c>
      <c r="AI623" t="e">
        <f t="shared" si="63"/>
        <v>#N/A</v>
      </c>
      <c r="AJ623" s="6" t="e">
        <f t="shared" si="64"/>
        <v>#N/A</v>
      </c>
      <c r="AK623" s="19" t="e">
        <f t="shared" si="65"/>
        <v>#N/A</v>
      </c>
    </row>
    <row r="624" spans="33:37">
      <c r="AG624" s="41" t="str">
        <f t="shared" si="66"/>
        <v/>
      </c>
      <c r="AH624" t="str">
        <f t="shared" si="62"/>
        <v/>
      </c>
      <c r="AI624" t="e">
        <f t="shared" si="63"/>
        <v>#N/A</v>
      </c>
      <c r="AJ624" s="6" t="e">
        <f t="shared" si="64"/>
        <v>#N/A</v>
      </c>
      <c r="AK624" s="19" t="e">
        <f t="shared" si="65"/>
        <v>#N/A</v>
      </c>
    </row>
    <row r="625" spans="33:37">
      <c r="AG625" s="41" t="str">
        <f t="shared" si="66"/>
        <v/>
      </c>
      <c r="AH625" t="str">
        <f t="shared" si="62"/>
        <v/>
      </c>
      <c r="AI625" t="e">
        <f t="shared" si="63"/>
        <v>#N/A</v>
      </c>
      <c r="AJ625" s="6" t="e">
        <f t="shared" si="64"/>
        <v>#N/A</v>
      </c>
      <c r="AK625" s="19" t="e">
        <f t="shared" si="65"/>
        <v>#N/A</v>
      </c>
    </row>
    <row r="626" spans="33:37">
      <c r="AG626" s="41" t="str">
        <f t="shared" si="66"/>
        <v/>
      </c>
      <c r="AH626" t="str">
        <f t="shared" si="62"/>
        <v/>
      </c>
      <c r="AI626" t="e">
        <f t="shared" si="63"/>
        <v>#N/A</v>
      </c>
      <c r="AJ626" s="6" t="e">
        <f t="shared" si="64"/>
        <v>#N/A</v>
      </c>
      <c r="AK626" s="19" t="e">
        <f t="shared" si="65"/>
        <v>#N/A</v>
      </c>
    </row>
    <row r="627" spans="33:37">
      <c r="AG627" s="41" t="str">
        <f t="shared" si="66"/>
        <v/>
      </c>
      <c r="AH627" t="str">
        <f t="shared" si="62"/>
        <v/>
      </c>
      <c r="AI627" t="e">
        <f t="shared" si="63"/>
        <v>#N/A</v>
      </c>
      <c r="AJ627" s="6" t="e">
        <f t="shared" si="64"/>
        <v>#N/A</v>
      </c>
      <c r="AK627" s="19" t="e">
        <f t="shared" si="65"/>
        <v>#N/A</v>
      </c>
    </row>
    <row r="628" spans="33:37">
      <c r="AG628" s="41" t="str">
        <f t="shared" si="66"/>
        <v/>
      </c>
      <c r="AH628" t="str">
        <f t="shared" si="62"/>
        <v/>
      </c>
      <c r="AI628" t="e">
        <f t="shared" si="63"/>
        <v>#N/A</v>
      </c>
      <c r="AJ628" s="6" t="e">
        <f t="shared" si="64"/>
        <v>#N/A</v>
      </c>
      <c r="AK628" s="19" t="e">
        <f t="shared" si="65"/>
        <v>#N/A</v>
      </c>
    </row>
    <row r="629" spans="33:37">
      <c r="AG629" s="41" t="str">
        <f t="shared" si="66"/>
        <v/>
      </c>
      <c r="AH629" t="str">
        <f t="shared" si="62"/>
        <v/>
      </c>
      <c r="AI629" t="e">
        <f t="shared" si="63"/>
        <v>#N/A</v>
      </c>
      <c r="AJ629" s="6" t="e">
        <f t="shared" si="64"/>
        <v>#N/A</v>
      </c>
      <c r="AK629" s="19" t="e">
        <f t="shared" si="65"/>
        <v>#N/A</v>
      </c>
    </row>
    <row r="630" spans="33:37">
      <c r="AG630" s="41" t="str">
        <f t="shared" si="66"/>
        <v/>
      </c>
      <c r="AH630" t="str">
        <f t="shared" si="62"/>
        <v/>
      </c>
      <c r="AI630" t="e">
        <f t="shared" si="63"/>
        <v>#N/A</v>
      </c>
      <c r="AJ630" s="6" t="e">
        <f t="shared" si="64"/>
        <v>#N/A</v>
      </c>
      <c r="AK630" s="19" t="e">
        <f t="shared" si="65"/>
        <v>#N/A</v>
      </c>
    </row>
    <row r="631" spans="33:37">
      <c r="AG631" s="41" t="str">
        <f t="shared" si="66"/>
        <v/>
      </c>
      <c r="AH631" t="str">
        <f t="shared" si="62"/>
        <v/>
      </c>
      <c r="AI631" t="e">
        <f t="shared" si="63"/>
        <v>#N/A</v>
      </c>
      <c r="AJ631" s="6" t="e">
        <f t="shared" si="64"/>
        <v>#N/A</v>
      </c>
      <c r="AK631" s="19" t="e">
        <f t="shared" si="65"/>
        <v>#N/A</v>
      </c>
    </row>
    <row r="632" spans="33:37">
      <c r="AG632" s="41" t="str">
        <f t="shared" si="66"/>
        <v/>
      </c>
      <c r="AH632" t="str">
        <f t="shared" si="62"/>
        <v/>
      </c>
      <c r="AI632" t="e">
        <f t="shared" si="63"/>
        <v>#N/A</v>
      </c>
      <c r="AJ632" s="6" t="e">
        <f t="shared" si="64"/>
        <v>#N/A</v>
      </c>
      <c r="AK632" s="19" t="e">
        <f t="shared" si="65"/>
        <v>#N/A</v>
      </c>
    </row>
    <row r="633" spans="33:37">
      <c r="AG633" s="41" t="str">
        <f t="shared" si="66"/>
        <v/>
      </c>
      <c r="AH633" t="str">
        <f t="shared" ref="AH633:AH696" si="67">IF(AG633&lt;&gt;"",MID($AE$4,AG633,1),"")</f>
        <v/>
      </c>
      <c r="AI633" t="e">
        <f t="shared" ref="AI633:AI696" si="68">IFERROR(VLOOKUP(AH633,$AA$4:$AB$13,2,0),VLOOKUP(AH633,$AC$4:$AD$13,2,0))</f>
        <v>#N/A</v>
      </c>
      <c r="AJ633" s="6" t="e">
        <f t="shared" ref="AJ633:AJ696" si="69">IF(AND(AI632="Rg",AI634="Rg"),"2Rg",IF(AND(AI632="Rg",AI634="Fx"),"RgFx",IF(AND(AI632="Fx",AI634="Rg"),"RgFx",IF(AND(AI632="Fx",AI634="Fx"),"2Fx",""))))</f>
        <v>#N/A</v>
      </c>
      <c r="AK633" s="19" t="e">
        <f t="shared" ref="AK633:AK696" si="70">IF(AJ633&lt;&gt;"",VLOOKUP(AJ633,mv,HLOOKUP(AH633,mh,2,0),0),"")</f>
        <v>#N/A</v>
      </c>
    </row>
    <row r="634" spans="33:37">
      <c r="AG634" s="41" t="str">
        <f t="shared" si="66"/>
        <v/>
      </c>
      <c r="AH634" t="str">
        <f t="shared" si="67"/>
        <v/>
      </c>
      <c r="AI634" t="e">
        <f t="shared" si="68"/>
        <v>#N/A</v>
      </c>
      <c r="AJ634" s="6" t="e">
        <f t="shared" si="69"/>
        <v>#N/A</v>
      </c>
      <c r="AK634" s="19" t="e">
        <f t="shared" si="70"/>
        <v>#N/A</v>
      </c>
    </row>
    <row r="635" spans="33:37">
      <c r="AG635" s="41" t="str">
        <f t="shared" si="66"/>
        <v/>
      </c>
      <c r="AH635" t="str">
        <f t="shared" si="67"/>
        <v/>
      </c>
      <c r="AI635" t="e">
        <f t="shared" si="68"/>
        <v>#N/A</v>
      </c>
      <c r="AJ635" s="6" t="e">
        <f t="shared" si="69"/>
        <v>#N/A</v>
      </c>
      <c r="AK635" s="19" t="e">
        <f t="shared" si="70"/>
        <v>#N/A</v>
      </c>
    </row>
    <row r="636" spans="33:37">
      <c r="AG636" s="41" t="str">
        <f t="shared" si="66"/>
        <v/>
      </c>
      <c r="AH636" t="str">
        <f t="shared" si="67"/>
        <v/>
      </c>
      <c r="AI636" t="e">
        <f t="shared" si="68"/>
        <v>#N/A</v>
      </c>
      <c r="AJ636" s="6" t="e">
        <f t="shared" si="69"/>
        <v>#N/A</v>
      </c>
      <c r="AK636" s="19" t="e">
        <f t="shared" si="70"/>
        <v>#N/A</v>
      </c>
    </row>
    <row r="637" spans="33:37">
      <c r="AG637" s="41" t="str">
        <f t="shared" si="66"/>
        <v/>
      </c>
      <c r="AH637" t="str">
        <f t="shared" si="67"/>
        <v/>
      </c>
      <c r="AI637" t="e">
        <f t="shared" si="68"/>
        <v>#N/A</v>
      </c>
      <c r="AJ637" s="6" t="e">
        <f t="shared" si="69"/>
        <v>#N/A</v>
      </c>
      <c r="AK637" s="19" t="e">
        <f t="shared" si="70"/>
        <v>#N/A</v>
      </c>
    </row>
    <row r="638" spans="33:37">
      <c r="AG638" s="41" t="str">
        <f t="shared" si="66"/>
        <v/>
      </c>
      <c r="AH638" t="str">
        <f t="shared" si="67"/>
        <v/>
      </c>
      <c r="AI638" t="e">
        <f t="shared" si="68"/>
        <v>#N/A</v>
      </c>
      <c r="AJ638" s="6" t="e">
        <f t="shared" si="69"/>
        <v>#N/A</v>
      </c>
      <c r="AK638" s="19" t="e">
        <f t="shared" si="70"/>
        <v>#N/A</v>
      </c>
    </row>
    <row r="639" spans="33:37">
      <c r="AG639" s="41" t="str">
        <f t="shared" si="66"/>
        <v/>
      </c>
      <c r="AH639" t="str">
        <f t="shared" si="67"/>
        <v/>
      </c>
      <c r="AI639" t="e">
        <f t="shared" si="68"/>
        <v>#N/A</v>
      </c>
      <c r="AJ639" s="6" t="e">
        <f t="shared" si="69"/>
        <v>#N/A</v>
      </c>
      <c r="AK639" s="19" t="e">
        <f t="shared" si="70"/>
        <v>#N/A</v>
      </c>
    </row>
    <row r="640" spans="33:37">
      <c r="AG640" s="41" t="str">
        <f t="shared" si="66"/>
        <v/>
      </c>
      <c r="AH640" t="str">
        <f t="shared" si="67"/>
        <v/>
      </c>
      <c r="AI640" t="e">
        <f t="shared" si="68"/>
        <v>#N/A</v>
      </c>
      <c r="AJ640" s="6" t="e">
        <f t="shared" si="69"/>
        <v>#N/A</v>
      </c>
      <c r="AK640" s="19" t="e">
        <f t="shared" si="70"/>
        <v>#N/A</v>
      </c>
    </row>
    <row r="641" spans="33:37">
      <c r="AG641" s="41" t="str">
        <f t="shared" si="66"/>
        <v/>
      </c>
      <c r="AH641" t="str">
        <f t="shared" si="67"/>
        <v/>
      </c>
      <c r="AI641" t="e">
        <f t="shared" si="68"/>
        <v>#N/A</v>
      </c>
      <c r="AJ641" s="6" t="e">
        <f t="shared" si="69"/>
        <v>#N/A</v>
      </c>
      <c r="AK641" s="19" t="e">
        <f t="shared" si="70"/>
        <v>#N/A</v>
      </c>
    </row>
    <row r="642" spans="33:37">
      <c r="AG642" s="41" t="str">
        <f t="shared" si="66"/>
        <v/>
      </c>
      <c r="AH642" t="str">
        <f t="shared" si="67"/>
        <v/>
      </c>
      <c r="AI642" t="e">
        <f t="shared" si="68"/>
        <v>#N/A</v>
      </c>
      <c r="AJ642" s="6" t="e">
        <f t="shared" si="69"/>
        <v>#N/A</v>
      </c>
      <c r="AK642" s="19" t="e">
        <f t="shared" si="70"/>
        <v>#N/A</v>
      </c>
    </row>
    <row r="643" spans="33:37">
      <c r="AG643" s="41" t="str">
        <f t="shared" si="66"/>
        <v/>
      </c>
      <c r="AH643" t="str">
        <f t="shared" si="67"/>
        <v/>
      </c>
      <c r="AI643" t="e">
        <f t="shared" si="68"/>
        <v>#N/A</v>
      </c>
      <c r="AJ643" s="6" t="e">
        <f t="shared" si="69"/>
        <v>#N/A</v>
      </c>
      <c r="AK643" s="19" t="e">
        <f t="shared" si="70"/>
        <v>#N/A</v>
      </c>
    </row>
    <row r="644" spans="33:37">
      <c r="AG644" s="41" t="str">
        <f t="shared" si="66"/>
        <v/>
      </c>
      <c r="AH644" t="str">
        <f t="shared" si="67"/>
        <v/>
      </c>
      <c r="AI644" t="e">
        <f t="shared" si="68"/>
        <v>#N/A</v>
      </c>
      <c r="AJ644" s="6" t="e">
        <f t="shared" si="69"/>
        <v>#N/A</v>
      </c>
      <c r="AK644" s="19" t="e">
        <f t="shared" si="70"/>
        <v>#N/A</v>
      </c>
    </row>
    <row r="645" spans="33:37">
      <c r="AG645" s="41" t="str">
        <f t="shared" ref="AG645:AG708" si="71">IF(AG644&lt;$AF$4,AG644+1,"")</f>
        <v/>
      </c>
      <c r="AH645" t="str">
        <f t="shared" si="67"/>
        <v/>
      </c>
      <c r="AI645" t="e">
        <f t="shared" si="68"/>
        <v>#N/A</v>
      </c>
      <c r="AJ645" s="6" t="e">
        <f t="shared" si="69"/>
        <v>#N/A</v>
      </c>
      <c r="AK645" s="19" t="e">
        <f t="shared" si="70"/>
        <v>#N/A</v>
      </c>
    </row>
    <row r="646" spans="33:37">
      <c r="AG646" s="41" t="str">
        <f t="shared" si="71"/>
        <v/>
      </c>
      <c r="AH646" t="str">
        <f t="shared" si="67"/>
        <v/>
      </c>
      <c r="AI646" t="e">
        <f t="shared" si="68"/>
        <v>#N/A</v>
      </c>
      <c r="AJ646" s="6" t="e">
        <f t="shared" si="69"/>
        <v>#N/A</v>
      </c>
      <c r="AK646" s="19" t="e">
        <f t="shared" si="70"/>
        <v>#N/A</v>
      </c>
    </row>
    <row r="647" spans="33:37">
      <c r="AG647" s="41" t="str">
        <f t="shared" si="71"/>
        <v/>
      </c>
      <c r="AH647" t="str">
        <f t="shared" si="67"/>
        <v/>
      </c>
      <c r="AI647" t="e">
        <f t="shared" si="68"/>
        <v>#N/A</v>
      </c>
      <c r="AJ647" s="6" t="e">
        <f t="shared" si="69"/>
        <v>#N/A</v>
      </c>
      <c r="AK647" s="19" t="e">
        <f t="shared" si="70"/>
        <v>#N/A</v>
      </c>
    </row>
    <row r="648" spans="33:37">
      <c r="AG648" s="41" t="str">
        <f t="shared" si="71"/>
        <v/>
      </c>
      <c r="AH648" t="str">
        <f t="shared" si="67"/>
        <v/>
      </c>
      <c r="AI648" t="e">
        <f t="shared" si="68"/>
        <v>#N/A</v>
      </c>
      <c r="AJ648" s="6" t="e">
        <f t="shared" si="69"/>
        <v>#N/A</v>
      </c>
      <c r="AK648" s="19" t="e">
        <f t="shared" si="70"/>
        <v>#N/A</v>
      </c>
    </row>
    <row r="649" spans="33:37">
      <c r="AG649" s="41" t="str">
        <f t="shared" si="71"/>
        <v/>
      </c>
      <c r="AH649" t="str">
        <f t="shared" si="67"/>
        <v/>
      </c>
      <c r="AI649" t="e">
        <f t="shared" si="68"/>
        <v>#N/A</v>
      </c>
      <c r="AJ649" s="6" t="e">
        <f t="shared" si="69"/>
        <v>#N/A</v>
      </c>
      <c r="AK649" s="19" t="e">
        <f t="shared" si="70"/>
        <v>#N/A</v>
      </c>
    </row>
    <row r="650" spans="33:37">
      <c r="AG650" s="41" t="str">
        <f t="shared" si="71"/>
        <v/>
      </c>
      <c r="AH650" t="str">
        <f t="shared" si="67"/>
        <v/>
      </c>
      <c r="AI650" t="e">
        <f t="shared" si="68"/>
        <v>#N/A</v>
      </c>
      <c r="AJ650" s="6" t="e">
        <f t="shared" si="69"/>
        <v>#N/A</v>
      </c>
      <c r="AK650" s="19" t="e">
        <f t="shared" si="70"/>
        <v>#N/A</v>
      </c>
    </row>
    <row r="651" spans="33:37">
      <c r="AG651" s="41" t="str">
        <f t="shared" si="71"/>
        <v/>
      </c>
      <c r="AH651" t="str">
        <f t="shared" si="67"/>
        <v/>
      </c>
      <c r="AI651" t="e">
        <f t="shared" si="68"/>
        <v>#N/A</v>
      </c>
      <c r="AJ651" s="6" t="e">
        <f t="shared" si="69"/>
        <v>#N/A</v>
      </c>
      <c r="AK651" s="19" t="e">
        <f t="shared" si="70"/>
        <v>#N/A</v>
      </c>
    </row>
    <row r="652" spans="33:37">
      <c r="AG652" s="41" t="str">
        <f t="shared" si="71"/>
        <v/>
      </c>
      <c r="AH652" t="str">
        <f t="shared" si="67"/>
        <v/>
      </c>
      <c r="AI652" t="e">
        <f t="shared" si="68"/>
        <v>#N/A</v>
      </c>
      <c r="AJ652" s="6" t="e">
        <f t="shared" si="69"/>
        <v>#N/A</v>
      </c>
      <c r="AK652" s="19" t="e">
        <f t="shared" si="70"/>
        <v>#N/A</v>
      </c>
    </row>
    <row r="653" spans="33:37">
      <c r="AG653" s="41" t="str">
        <f t="shared" si="71"/>
        <v/>
      </c>
      <c r="AH653" t="str">
        <f t="shared" si="67"/>
        <v/>
      </c>
      <c r="AI653" t="e">
        <f t="shared" si="68"/>
        <v>#N/A</v>
      </c>
      <c r="AJ653" s="6" t="e">
        <f t="shared" si="69"/>
        <v>#N/A</v>
      </c>
      <c r="AK653" s="19" t="e">
        <f t="shared" si="70"/>
        <v>#N/A</v>
      </c>
    </row>
    <row r="654" spans="33:37">
      <c r="AG654" s="41" t="str">
        <f t="shared" si="71"/>
        <v/>
      </c>
      <c r="AH654" t="str">
        <f t="shared" si="67"/>
        <v/>
      </c>
      <c r="AI654" t="e">
        <f t="shared" si="68"/>
        <v>#N/A</v>
      </c>
      <c r="AJ654" s="6" t="e">
        <f t="shared" si="69"/>
        <v>#N/A</v>
      </c>
      <c r="AK654" s="19" t="e">
        <f t="shared" si="70"/>
        <v>#N/A</v>
      </c>
    </row>
    <row r="655" spans="33:37">
      <c r="AG655" s="41" t="str">
        <f t="shared" si="71"/>
        <v/>
      </c>
      <c r="AH655" t="str">
        <f t="shared" si="67"/>
        <v/>
      </c>
      <c r="AI655" t="e">
        <f t="shared" si="68"/>
        <v>#N/A</v>
      </c>
      <c r="AJ655" s="6" t="e">
        <f t="shared" si="69"/>
        <v>#N/A</v>
      </c>
      <c r="AK655" s="19" t="e">
        <f t="shared" si="70"/>
        <v>#N/A</v>
      </c>
    </row>
    <row r="656" spans="33:37">
      <c r="AG656" s="41" t="str">
        <f t="shared" si="71"/>
        <v/>
      </c>
      <c r="AH656" t="str">
        <f t="shared" si="67"/>
        <v/>
      </c>
      <c r="AI656" t="e">
        <f t="shared" si="68"/>
        <v>#N/A</v>
      </c>
      <c r="AJ656" s="6" t="e">
        <f t="shared" si="69"/>
        <v>#N/A</v>
      </c>
      <c r="AK656" s="19" t="e">
        <f t="shared" si="70"/>
        <v>#N/A</v>
      </c>
    </row>
    <row r="657" spans="33:37">
      <c r="AG657" s="41" t="str">
        <f t="shared" si="71"/>
        <v/>
      </c>
      <c r="AH657" t="str">
        <f t="shared" si="67"/>
        <v/>
      </c>
      <c r="AI657" t="e">
        <f t="shared" si="68"/>
        <v>#N/A</v>
      </c>
      <c r="AJ657" s="6" t="e">
        <f t="shared" si="69"/>
        <v>#N/A</v>
      </c>
      <c r="AK657" s="19" t="e">
        <f t="shared" si="70"/>
        <v>#N/A</v>
      </c>
    </row>
    <row r="658" spans="33:37">
      <c r="AG658" s="41" t="str">
        <f t="shared" si="71"/>
        <v/>
      </c>
      <c r="AH658" t="str">
        <f t="shared" si="67"/>
        <v/>
      </c>
      <c r="AI658" t="e">
        <f t="shared" si="68"/>
        <v>#N/A</v>
      </c>
      <c r="AJ658" s="6" t="e">
        <f t="shared" si="69"/>
        <v>#N/A</v>
      </c>
      <c r="AK658" s="19" t="e">
        <f t="shared" si="70"/>
        <v>#N/A</v>
      </c>
    </row>
    <row r="659" spans="33:37">
      <c r="AG659" s="41" t="str">
        <f t="shared" si="71"/>
        <v/>
      </c>
      <c r="AH659" t="str">
        <f t="shared" si="67"/>
        <v/>
      </c>
      <c r="AI659" t="e">
        <f t="shared" si="68"/>
        <v>#N/A</v>
      </c>
      <c r="AJ659" s="6" t="e">
        <f t="shared" si="69"/>
        <v>#N/A</v>
      </c>
      <c r="AK659" s="19" t="e">
        <f t="shared" si="70"/>
        <v>#N/A</v>
      </c>
    </row>
    <row r="660" spans="33:37">
      <c r="AG660" s="41" t="str">
        <f t="shared" si="71"/>
        <v/>
      </c>
      <c r="AH660" t="str">
        <f t="shared" si="67"/>
        <v/>
      </c>
      <c r="AI660" t="e">
        <f t="shared" si="68"/>
        <v>#N/A</v>
      </c>
      <c r="AJ660" s="6" t="e">
        <f t="shared" si="69"/>
        <v>#N/A</v>
      </c>
      <c r="AK660" s="19" t="e">
        <f t="shared" si="70"/>
        <v>#N/A</v>
      </c>
    </row>
    <row r="661" spans="33:37">
      <c r="AG661" s="41" t="str">
        <f t="shared" si="71"/>
        <v/>
      </c>
      <c r="AH661" t="str">
        <f t="shared" si="67"/>
        <v/>
      </c>
      <c r="AI661" t="e">
        <f t="shared" si="68"/>
        <v>#N/A</v>
      </c>
      <c r="AJ661" s="6" t="e">
        <f t="shared" si="69"/>
        <v>#N/A</v>
      </c>
      <c r="AK661" s="19" t="e">
        <f t="shared" si="70"/>
        <v>#N/A</v>
      </c>
    </row>
    <row r="662" spans="33:37">
      <c r="AG662" s="41" t="str">
        <f t="shared" si="71"/>
        <v/>
      </c>
      <c r="AH662" t="str">
        <f t="shared" si="67"/>
        <v/>
      </c>
      <c r="AI662" t="e">
        <f t="shared" si="68"/>
        <v>#N/A</v>
      </c>
      <c r="AJ662" s="6" t="e">
        <f t="shared" si="69"/>
        <v>#N/A</v>
      </c>
      <c r="AK662" s="19" t="e">
        <f t="shared" si="70"/>
        <v>#N/A</v>
      </c>
    </row>
    <row r="663" spans="33:37">
      <c r="AG663" s="41" t="str">
        <f t="shared" si="71"/>
        <v/>
      </c>
      <c r="AH663" t="str">
        <f t="shared" si="67"/>
        <v/>
      </c>
      <c r="AI663" t="e">
        <f t="shared" si="68"/>
        <v>#N/A</v>
      </c>
      <c r="AJ663" s="6" t="e">
        <f t="shared" si="69"/>
        <v>#N/A</v>
      </c>
      <c r="AK663" s="19" t="e">
        <f t="shared" si="70"/>
        <v>#N/A</v>
      </c>
    </row>
    <row r="664" spans="33:37">
      <c r="AG664" s="41" t="str">
        <f t="shared" si="71"/>
        <v/>
      </c>
      <c r="AH664" t="str">
        <f t="shared" si="67"/>
        <v/>
      </c>
      <c r="AI664" t="e">
        <f t="shared" si="68"/>
        <v>#N/A</v>
      </c>
      <c r="AJ664" s="6" t="e">
        <f t="shared" si="69"/>
        <v>#N/A</v>
      </c>
      <c r="AK664" s="19" t="e">
        <f t="shared" si="70"/>
        <v>#N/A</v>
      </c>
    </row>
    <row r="665" spans="33:37">
      <c r="AG665" s="41" t="str">
        <f t="shared" si="71"/>
        <v/>
      </c>
      <c r="AH665" t="str">
        <f t="shared" si="67"/>
        <v/>
      </c>
      <c r="AI665" t="e">
        <f t="shared" si="68"/>
        <v>#N/A</v>
      </c>
      <c r="AJ665" s="6" t="e">
        <f t="shared" si="69"/>
        <v>#N/A</v>
      </c>
      <c r="AK665" s="19" t="e">
        <f t="shared" si="70"/>
        <v>#N/A</v>
      </c>
    </row>
    <row r="666" spans="33:37">
      <c r="AG666" s="41" t="str">
        <f t="shared" si="71"/>
        <v/>
      </c>
      <c r="AH666" t="str">
        <f t="shared" si="67"/>
        <v/>
      </c>
      <c r="AI666" t="e">
        <f t="shared" si="68"/>
        <v>#N/A</v>
      </c>
      <c r="AJ666" s="6" t="e">
        <f t="shared" si="69"/>
        <v>#N/A</v>
      </c>
      <c r="AK666" s="19" t="e">
        <f t="shared" si="70"/>
        <v>#N/A</v>
      </c>
    </row>
    <row r="667" spans="33:37">
      <c r="AG667" s="41" t="str">
        <f t="shared" si="71"/>
        <v/>
      </c>
      <c r="AH667" t="str">
        <f t="shared" si="67"/>
        <v/>
      </c>
      <c r="AI667" t="e">
        <f t="shared" si="68"/>
        <v>#N/A</v>
      </c>
      <c r="AJ667" s="6" t="e">
        <f t="shared" si="69"/>
        <v>#N/A</v>
      </c>
      <c r="AK667" s="19" t="e">
        <f t="shared" si="70"/>
        <v>#N/A</v>
      </c>
    </row>
    <row r="668" spans="33:37">
      <c r="AG668" s="41" t="str">
        <f t="shared" si="71"/>
        <v/>
      </c>
      <c r="AH668" t="str">
        <f t="shared" si="67"/>
        <v/>
      </c>
      <c r="AI668" t="e">
        <f t="shared" si="68"/>
        <v>#N/A</v>
      </c>
      <c r="AJ668" s="6" t="e">
        <f t="shared" si="69"/>
        <v>#N/A</v>
      </c>
      <c r="AK668" s="19" t="e">
        <f t="shared" si="70"/>
        <v>#N/A</v>
      </c>
    </row>
    <row r="669" spans="33:37">
      <c r="AG669" s="41" t="str">
        <f t="shared" si="71"/>
        <v/>
      </c>
      <c r="AH669" t="str">
        <f t="shared" si="67"/>
        <v/>
      </c>
      <c r="AI669" t="e">
        <f t="shared" si="68"/>
        <v>#N/A</v>
      </c>
      <c r="AJ669" s="6" t="e">
        <f t="shared" si="69"/>
        <v>#N/A</v>
      </c>
      <c r="AK669" s="19" t="e">
        <f t="shared" si="70"/>
        <v>#N/A</v>
      </c>
    </row>
    <row r="670" spans="33:37">
      <c r="AG670" s="41" t="str">
        <f t="shared" si="71"/>
        <v/>
      </c>
      <c r="AH670" t="str">
        <f t="shared" si="67"/>
        <v/>
      </c>
      <c r="AI670" t="e">
        <f t="shared" si="68"/>
        <v>#N/A</v>
      </c>
      <c r="AJ670" s="6" t="e">
        <f t="shared" si="69"/>
        <v>#N/A</v>
      </c>
      <c r="AK670" s="19" t="e">
        <f t="shared" si="70"/>
        <v>#N/A</v>
      </c>
    </row>
    <row r="671" spans="33:37">
      <c r="AG671" s="41" t="str">
        <f t="shared" si="71"/>
        <v/>
      </c>
      <c r="AH671" t="str">
        <f t="shared" si="67"/>
        <v/>
      </c>
      <c r="AI671" t="e">
        <f t="shared" si="68"/>
        <v>#N/A</v>
      </c>
      <c r="AJ671" s="6" t="e">
        <f t="shared" si="69"/>
        <v>#N/A</v>
      </c>
      <c r="AK671" s="19" t="e">
        <f t="shared" si="70"/>
        <v>#N/A</v>
      </c>
    </row>
    <row r="672" spans="33:37">
      <c r="AG672" s="41" t="str">
        <f t="shared" si="71"/>
        <v/>
      </c>
      <c r="AH672" t="str">
        <f t="shared" si="67"/>
        <v/>
      </c>
      <c r="AI672" t="e">
        <f t="shared" si="68"/>
        <v>#N/A</v>
      </c>
      <c r="AJ672" s="6" t="e">
        <f t="shared" si="69"/>
        <v>#N/A</v>
      </c>
      <c r="AK672" s="19" t="e">
        <f t="shared" si="70"/>
        <v>#N/A</v>
      </c>
    </row>
    <row r="673" spans="33:37">
      <c r="AG673" s="41" t="str">
        <f t="shared" si="71"/>
        <v/>
      </c>
      <c r="AH673" t="str">
        <f t="shared" si="67"/>
        <v/>
      </c>
      <c r="AI673" t="e">
        <f t="shared" si="68"/>
        <v>#N/A</v>
      </c>
      <c r="AJ673" s="6" t="e">
        <f t="shared" si="69"/>
        <v>#N/A</v>
      </c>
      <c r="AK673" s="19" t="e">
        <f t="shared" si="70"/>
        <v>#N/A</v>
      </c>
    </row>
    <row r="674" spans="33:37">
      <c r="AG674" s="41" t="str">
        <f t="shared" si="71"/>
        <v/>
      </c>
      <c r="AH674" t="str">
        <f t="shared" si="67"/>
        <v/>
      </c>
      <c r="AI674" t="e">
        <f t="shared" si="68"/>
        <v>#N/A</v>
      </c>
      <c r="AJ674" s="6" t="e">
        <f t="shared" si="69"/>
        <v>#N/A</v>
      </c>
      <c r="AK674" s="19" t="e">
        <f t="shared" si="70"/>
        <v>#N/A</v>
      </c>
    </row>
    <row r="675" spans="33:37">
      <c r="AG675" s="41" t="str">
        <f t="shared" si="71"/>
        <v/>
      </c>
      <c r="AH675" t="str">
        <f t="shared" si="67"/>
        <v/>
      </c>
      <c r="AI675" t="e">
        <f t="shared" si="68"/>
        <v>#N/A</v>
      </c>
      <c r="AJ675" s="6" t="e">
        <f t="shared" si="69"/>
        <v>#N/A</v>
      </c>
      <c r="AK675" s="19" t="e">
        <f t="shared" si="70"/>
        <v>#N/A</v>
      </c>
    </row>
    <row r="676" spans="33:37">
      <c r="AG676" s="41" t="str">
        <f t="shared" si="71"/>
        <v/>
      </c>
      <c r="AH676" t="str">
        <f t="shared" si="67"/>
        <v/>
      </c>
      <c r="AI676" t="e">
        <f t="shared" si="68"/>
        <v>#N/A</v>
      </c>
      <c r="AJ676" s="6" t="e">
        <f t="shared" si="69"/>
        <v>#N/A</v>
      </c>
      <c r="AK676" s="19" t="e">
        <f t="shared" si="70"/>
        <v>#N/A</v>
      </c>
    </row>
    <row r="677" spans="33:37">
      <c r="AG677" s="41" t="str">
        <f t="shared" si="71"/>
        <v/>
      </c>
      <c r="AH677" t="str">
        <f t="shared" si="67"/>
        <v/>
      </c>
      <c r="AI677" t="e">
        <f t="shared" si="68"/>
        <v>#N/A</v>
      </c>
      <c r="AJ677" s="6" t="e">
        <f t="shared" si="69"/>
        <v>#N/A</v>
      </c>
      <c r="AK677" s="19" t="e">
        <f t="shared" si="70"/>
        <v>#N/A</v>
      </c>
    </row>
    <row r="678" spans="33:37">
      <c r="AG678" s="41" t="str">
        <f t="shared" si="71"/>
        <v/>
      </c>
      <c r="AH678" t="str">
        <f t="shared" si="67"/>
        <v/>
      </c>
      <c r="AI678" t="e">
        <f t="shared" si="68"/>
        <v>#N/A</v>
      </c>
      <c r="AJ678" s="6" t="e">
        <f t="shared" si="69"/>
        <v>#N/A</v>
      </c>
      <c r="AK678" s="19" t="e">
        <f t="shared" si="70"/>
        <v>#N/A</v>
      </c>
    </row>
    <row r="679" spans="33:37">
      <c r="AG679" s="41" t="str">
        <f t="shared" si="71"/>
        <v/>
      </c>
      <c r="AH679" t="str">
        <f t="shared" si="67"/>
        <v/>
      </c>
      <c r="AI679" t="e">
        <f t="shared" si="68"/>
        <v>#N/A</v>
      </c>
      <c r="AJ679" s="6" t="e">
        <f t="shared" si="69"/>
        <v>#N/A</v>
      </c>
      <c r="AK679" s="19" t="e">
        <f t="shared" si="70"/>
        <v>#N/A</v>
      </c>
    </row>
    <row r="680" spans="33:37">
      <c r="AG680" s="41" t="str">
        <f t="shared" si="71"/>
        <v/>
      </c>
      <c r="AH680" t="str">
        <f t="shared" si="67"/>
        <v/>
      </c>
      <c r="AI680" t="e">
        <f t="shared" si="68"/>
        <v>#N/A</v>
      </c>
      <c r="AJ680" s="6" t="e">
        <f t="shared" si="69"/>
        <v>#N/A</v>
      </c>
      <c r="AK680" s="19" t="e">
        <f t="shared" si="70"/>
        <v>#N/A</v>
      </c>
    </row>
    <row r="681" spans="33:37">
      <c r="AG681" s="41" t="str">
        <f t="shared" si="71"/>
        <v/>
      </c>
      <c r="AH681" t="str">
        <f t="shared" si="67"/>
        <v/>
      </c>
      <c r="AI681" t="e">
        <f t="shared" si="68"/>
        <v>#N/A</v>
      </c>
      <c r="AJ681" s="6" t="e">
        <f t="shared" si="69"/>
        <v>#N/A</v>
      </c>
      <c r="AK681" s="19" t="e">
        <f t="shared" si="70"/>
        <v>#N/A</v>
      </c>
    </row>
    <row r="682" spans="33:37">
      <c r="AG682" s="41" t="str">
        <f t="shared" si="71"/>
        <v/>
      </c>
      <c r="AH682" t="str">
        <f t="shared" si="67"/>
        <v/>
      </c>
      <c r="AI682" t="e">
        <f t="shared" si="68"/>
        <v>#N/A</v>
      </c>
      <c r="AJ682" s="6" t="e">
        <f t="shared" si="69"/>
        <v>#N/A</v>
      </c>
      <c r="AK682" s="19" t="e">
        <f t="shared" si="70"/>
        <v>#N/A</v>
      </c>
    </row>
    <row r="683" spans="33:37">
      <c r="AG683" s="41" t="str">
        <f t="shared" si="71"/>
        <v/>
      </c>
      <c r="AH683" t="str">
        <f t="shared" si="67"/>
        <v/>
      </c>
      <c r="AI683" t="e">
        <f t="shared" si="68"/>
        <v>#N/A</v>
      </c>
      <c r="AJ683" s="6" t="e">
        <f t="shared" si="69"/>
        <v>#N/A</v>
      </c>
      <c r="AK683" s="19" t="e">
        <f t="shared" si="70"/>
        <v>#N/A</v>
      </c>
    </row>
    <row r="684" spans="33:37">
      <c r="AG684" s="41" t="str">
        <f t="shared" si="71"/>
        <v/>
      </c>
      <c r="AH684" t="str">
        <f t="shared" si="67"/>
        <v/>
      </c>
      <c r="AI684" t="e">
        <f t="shared" si="68"/>
        <v>#N/A</v>
      </c>
      <c r="AJ684" s="6" t="e">
        <f t="shared" si="69"/>
        <v>#N/A</v>
      </c>
      <c r="AK684" s="19" t="e">
        <f t="shared" si="70"/>
        <v>#N/A</v>
      </c>
    </row>
    <row r="685" spans="33:37">
      <c r="AG685" s="41" t="str">
        <f t="shared" si="71"/>
        <v/>
      </c>
      <c r="AH685" t="str">
        <f t="shared" si="67"/>
        <v/>
      </c>
      <c r="AI685" t="e">
        <f t="shared" si="68"/>
        <v>#N/A</v>
      </c>
      <c r="AJ685" s="6" t="e">
        <f t="shared" si="69"/>
        <v>#N/A</v>
      </c>
      <c r="AK685" s="19" t="e">
        <f t="shared" si="70"/>
        <v>#N/A</v>
      </c>
    </row>
    <row r="686" spans="33:37">
      <c r="AG686" s="41" t="str">
        <f t="shared" si="71"/>
        <v/>
      </c>
      <c r="AH686" t="str">
        <f t="shared" si="67"/>
        <v/>
      </c>
      <c r="AI686" t="e">
        <f t="shared" si="68"/>
        <v>#N/A</v>
      </c>
      <c r="AJ686" s="6" t="e">
        <f t="shared" si="69"/>
        <v>#N/A</v>
      </c>
      <c r="AK686" s="19" t="e">
        <f t="shared" si="70"/>
        <v>#N/A</v>
      </c>
    </row>
    <row r="687" spans="33:37">
      <c r="AG687" s="41" t="str">
        <f t="shared" si="71"/>
        <v/>
      </c>
      <c r="AH687" t="str">
        <f t="shared" si="67"/>
        <v/>
      </c>
      <c r="AI687" t="e">
        <f t="shared" si="68"/>
        <v>#N/A</v>
      </c>
      <c r="AJ687" s="6" t="e">
        <f t="shared" si="69"/>
        <v>#N/A</v>
      </c>
      <c r="AK687" s="19" t="e">
        <f t="shared" si="70"/>
        <v>#N/A</v>
      </c>
    </row>
    <row r="688" spans="33:37">
      <c r="AG688" s="41" t="str">
        <f t="shared" si="71"/>
        <v/>
      </c>
      <c r="AH688" t="str">
        <f t="shared" si="67"/>
        <v/>
      </c>
      <c r="AI688" t="e">
        <f t="shared" si="68"/>
        <v>#N/A</v>
      </c>
      <c r="AJ688" s="6" t="e">
        <f t="shared" si="69"/>
        <v>#N/A</v>
      </c>
      <c r="AK688" s="19" t="e">
        <f t="shared" si="70"/>
        <v>#N/A</v>
      </c>
    </row>
    <row r="689" spans="33:37">
      <c r="AG689" s="41" t="str">
        <f t="shared" si="71"/>
        <v/>
      </c>
      <c r="AH689" t="str">
        <f t="shared" si="67"/>
        <v/>
      </c>
      <c r="AI689" t="e">
        <f t="shared" si="68"/>
        <v>#N/A</v>
      </c>
      <c r="AJ689" s="6" t="e">
        <f t="shared" si="69"/>
        <v>#N/A</v>
      </c>
      <c r="AK689" s="19" t="e">
        <f t="shared" si="70"/>
        <v>#N/A</v>
      </c>
    </row>
    <row r="690" spans="33:37">
      <c r="AG690" s="41" t="str">
        <f t="shared" si="71"/>
        <v/>
      </c>
      <c r="AH690" t="str">
        <f t="shared" si="67"/>
        <v/>
      </c>
      <c r="AI690" t="e">
        <f t="shared" si="68"/>
        <v>#N/A</v>
      </c>
      <c r="AJ690" s="6" t="e">
        <f t="shared" si="69"/>
        <v>#N/A</v>
      </c>
      <c r="AK690" s="19" t="e">
        <f t="shared" si="70"/>
        <v>#N/A</v>
      </c>
    </row>
    <row r="691" spans="33:37">
      <c r="AG691" s="41" t="str">
        <f t="shared" si="71"/>
        <v/>
      </c>
      <c r="AH691" t="str">
        <f t="shared" si="67"/>
        <v/>
      </c>
      <c r="AI691" t="e">
        <f t="shared" si="68"/>
        <v>#N/A</v>
      </c>
      <c r="AJ691" s="6" t="e">
        <f t="shared" si="69"/>
        <v>#N/A</v>
      </c>
      <c r="AK691" s="19" t="e">
        <f t="shared" si="70"/>
        <v>#N/A</v>
      </c>
    </row>
    <row r="692" spans="33:37">
      <c r="AG692" s="41" t="str">
        <f t="shared" si="71"/>
        <v/>
      </c>
      <c r="AH692" t="str">
        <f t="shared" si="67"/>
        <v/>
      </c>
      <c r="AI692" t="e">
        <f t="shared" si="68"/>
        <v>#N/A</v>
      </c>
      <c r="AJ692" s="6" t="e">
        <f t="shared" si="69"/>
        <v>#N/A</v>
      </c>
      <c r="AK692" s="19" t="e">
        <f t="shared" si="70"/>
        <v>#N/A</v>
      </c>
    </row>
    <row r="693" spans="33:37">
      <c r="AG693" s="41" t="str">
        <f t="shared" si="71"/>
        <v/>
      </c>
      <c r="AH693" t="str">
        <f t="shared" si="67"/>
        <v/>
      </c>
      <c r="AI693" t="e">
        <f t="shared" si="68"/>
        <v>#N/A</v>
      </c>
      <c r="AJ693" s="6" t="e">
        <f t="shared" si="69"/>
        <v>#N/A</v>
      </c>
      <c r="AK693" s="19" t="e">
        <f t="shared" si="70"/>
        <v>#N/A</v>
      </c>
    </row>
    <row r="694" spans="33:37">
      <c r="AG694" s="41" t="str">
        <f t="shared" si="71"/>
        <v/>
      </c>
      <c r="AH694" t="str">
        <f t="shared" si="67"/>
        <v/>
      </c>
      <c r="AI694" t="e">
        <f t="shared" si="68"/>
        <v>#N/A</v>
      </c>
      <c r="AJ694" s="6" t="e">
        <f t="shared" si="69"/>
        <v>#N/A</v>
      </c>
      <c r="AK694" s="19" t="e">
        <f t="shared" si="70"/>
        <v>#N/A</v>
      </c>
    </row>
    <row r="695" spans="33:37">
      <c r="AG695" s="41" t="str">
        <f t="shared" si="71"/>
        <v/>
      </c>
      <c r="AH695" t="str">
        <f t="shared" si="67"/>
        <v/>
      </c>
      <c r="AI695" t="e">
        <f t="shared" si="68"/>
        <v>#N/A</v>
      </c>
      <c r="AJ695" s="6" t="e">
        <f t="shared" si="69"/>
        <v>#N/A</v>
      </c>
      <c r="AK695" s="19" t="e">
        <f t="shared" si="70"/>
        <v>#N/A</v>
      </c>
    </row>
    <row r="696" spans="33:37">
      <c r="AG696" s="41" t="str">
        <f t="shared" si="71"/>
        <v/>
      </c>
      <c r="AH696" t="str">
        <f t="shared" si="67"/>
        <v/>
      </c>
      <c r="AI696" t="e">
        <f t="shared" si="68"/>
        <v>#N/A</v>
      </c>
      <c r="AJ696" s="6" t="e">
        <f t="shared" si="69"/>
        <v>#N/A</v>
      </c>
      <c r="AK696" s="19" t="e">
        <f t="shared" si="70"/>
        <v>#N/A</v>
      </c>
    </row>
    <row r="697" spans="33:37">
      <c r="AG697" s="41" t="str">
        <f t="shared" si="71"/>
        <v/>
      </c>
      <c r="AH697" t="str">
        <f t="shared" ref="AH697:AH760" si="72">IF(AG697&lt;&gt;"",MID($AE$4,AG697,1),"")</f>
        <v/>
      </c>
      <c r="AI697" t="e">
        <f t="shared" ref="AI697:AI760" si="73">IFERROR(VLOOKUP(AH697,$AA$4:$AB$13,2,0),VLOOKUP(AH697,$AC$4:$AD$13,2,0))</f>
        <v>#N/A</v>
      </c>
      <c r="AJ697" s="6" t="e">
        <f t="shared" ref="AJ697:AJ760" si="74">IF(AND(AI696="Rg",AI698="Rg"),"2Rg",IF(AND(AI696="Rg",AI698="Fx"),"RgFx",IF(AND(AI696="Fx",AI698="Rg"),"RgFx",IF(AND(AI696="Fx",AI698="Fx"),"2Fx",""))))</f>
        <v>#N/A</v>
      </c>
      <c r="AK697" s="19" t="e">
        <f t="shared" ref="AK697:AK760" si="75">IF(AJ697&lt;&gt;"",VLOOKUP(AJ697,mv,HLOOKUP(AH697,mh,2,0),0),"")</f>
        <v>#N/A</v>
      </c>
    </row>
    <row r="698" spans="33:37">
      <c r="AG698" s="41" t="str">
        <f t="shared" si="71"/>
        <v/>
      </c>
      <c r="AH698" t="str">
        <f t="shared" si="72"/>
        <v/>
      </c>
      <c r="AI698" t="e">
        <f t="shared" si="73"/>
        <v>#N/A</v>
      </c>
      <c r="AJ698" s="6" t="e">
        <f t="shared" si="74"/>
        <v>#N/A</v>
      </c>
      <c r="AK698" s="19" t="e">
        <f t="shared" si="75"/>
        <v>#N/A</v>
      </c>
    </row>
    <row r="699" spans="33:37">
      <c r="AG699" s="41" t="str">
        <f t="shared" si="71"/>
        <v/>
      </c>
      <c r="AH699" t="str">
        <f t="shared" si="72"/>
        <v/>
      </c>
      <c r="AI699" t="e">
        <f t="shared" si="73"/>
        <v>#N/A</v>
      </c>
      <c r="AJ699" s="6" t="e">
        <f t="shared" si="74"/>
        <v>#N/A</v>
      </c>
      <c r="AK699" s="19" t="e">
        <f t="shared" si="75"/>
        <v>#N/A</v>
      </c>
    </row>
    <row r="700" spans="33:37">
      <c r="AG700" s="41" t="str">
        <f t="shared" si="71"/>
        <v/>
      </c>
      <c r="AH700" t="str">
        <f t="shared" si="72"/>
        <v/>
      </c>
      <c r="AI700" t="e">
        <f t="shared" si="73"/>
        <v>#N/A</v>
      </c>
      <c r="AJ700" s="6" t="e">
        <f t="shared" si="74"/>
        <v>#N/A</v>
      </c>
      <c r="AK700" s="19" t="e">
        <f t="shared" si="75"/>
        <v>#N/A</v>
      </c>
    </row>
    <row r="701" spans="33:37">
      <c r="AG701" s="41" t="str">
        <f t="shared" si="71"/>
        <v/>
      </c>
      <c r="AH701" t="str">
        <f t="shared" si="72"/>
        <v/>
      </c>
      <c r="AI701" t="e">
        <f t="shared" si="73"/>
        <v>#N/A</v>
      </c>
      <c r="AJ701" s="6" t="e">
        <f t="shared" si="74"/>
        <v>#N/A</v>
      </c>
      <c r="AK701" s="19" t="e">
        <f t="shared" si="75"/>
        <v>#N/A</v>
      </c>
    </row>
    <row r="702" spans="33:37">
      <c r="AG702" s="41" t="str">
        <f t="shared" si="71"/>
        <v/>
      </c>
      <c r="AH702" t="str">
        <f t="shared" si="72"/>
        <v/>
      </c>
      <c r="AI702" t="e">
        <f t="shared" si="73"/>
        <v>#N/A</v>
      </c>
      <c r="AJ702" s="6" t="e">
        <f t="shared" si="74"/>
        <v>#N/A</v>
      </c>
      <c r="AK702" s="19" t="e">
        <f t="shared" si="75"/>
        <v>#N/A</v>
      </c>
    </row>
    <row r="703" spans="33:37">
      <c r="AG703" s="41" t="str">
        <f t="shared" si="71"/>
        <v/>
      </c>
      <c r="AH703" t="str">
        <f t="shared" si="72"/>
        <v/>
      </c>
      <c r="AI703" t="e">
        <f t="shared" si="73"/>
        <v>#N/A</v>
      </c>
      <c r="AJ703" s="6" t="e">
        <f t="shared" si="74"/>
        <v>#N/A</v>
      </c>
      <c r="AK703" s="19" t="e">
        <f t="shared" si="75"/>
        <v>#N/A</v>
      </c>
    </row>
    <row r="704" spans="33:37">
      <c r="AG704" s="41" t="str">
        <f t="shared" si="71"/>
        <v/>
      </c>
      <c r="AH704" t="str">
        <f t="shared" si="72"/>
        <v/>
      </c>
      <c r="AI704" t="e">
        <f t="shared" si="73"/>
        <v>#N/A</v>
      </c>
      <c r="AJ704" s="6" t="e">
        <f t="shared" si="74"/>
        <v>#N/A</v>
      </c>
      <c r="AK704" s="19" t="e">
        <f t="shared" si="75"/>
        <v>#N/A</v>
      </c>
    </row>
    <row r="705" spans="33:37">
      <c r="AG705" s="41" t="str">
        <f t="shared" si="71"/>
        <v/>
      </c>
      <c r="AH705" t="str">
        <f t="shared" si="72"/>
        <v/>
      </c>
      <c r="AI705" t="e">
        <f t="shared" si="73"/>
        <v>#N/A</v>
      </c>
      <c r="AJ705" s="6" t="e">
        <f t="shared" si="74"/>
        <v>#N/A</v>
      </c>
      <c r="AK705" s="19" t="e">
        <f t="shared" si="75"/>
        <v>#N/A</v>
      </c>
    </row>
    <row r="706" spans="33:37">
      <c r="AG706" s="41" t="str">
        <f t="shared" si="71"/>
        <v/>
      </c>
      <c r="AH706" t="str">
        <f t="shared" si="72"/>
        <v/>
      </c>
      <c r="AI706" t="e">
        <f t="shared" si="73"/>
        <v>#N/A</v>
      </c>
      <c r="AJ706" s="6" t="e">
        <f t="shared" si="74"/>
        <v>#N/A</v>
      </c>
      <c r="AK706" s="19" t="e">
        <f t="shared" si="75"/>
        <v>#N/A</v>
      </c>
    </row>
    <row r="707" spans="33:37">
      <c r="AG707" s="41" t="str">
        <f t="shared" si="71"/>
        <v/>
      </c>
      <c r="AH707" t="str">
        <f t="shared" si="72"/>
        <v/>
      </c>
      <c r="AI707" t="e">
        <f t="shared" si="73"/>
        <v>#N/A</v>
      </c>
      <c r="AJ707" s="6" t="e">
        <f t="shared" si="74"/>
        <v>#N/A</v>
      </c>
      <c r="AK707" s="19" t="e">
        <f t="shared" si="75"/>
        <v>#N/A</v>
      </c>
    </row>
    <row r="708" spans="33:37">
      <c r="AG708" s="41" t="str">
        <f t="shared" si="71"/>
        <v/>
      </c>
      <c r="AH708" t="str">
        <f t="shared" si="72"/>
        <v/>
      </c>
      <c r="AI708" t="e">
        <f t="shared" si="73"/>
        <v>#N/A</v>
      </c>
      <c r="AJ708" s="6" t="e">
        <f t="shared" si="74"/>
        <v>#N/A</v>
      </c>
      <c r="AK708" s="19" t="e">
        <f t="shared" si="75"/>
        <v>#N/A</v>
      </c>
    </row>
    <row r="709" spans="33:37">
      <c r="AG709" s="41" t="str">
        <f t="shared" ref="AG709:AG772" si="76">IF(AG708&lt;$AF$4,AG708+1,"")</f>
        <v/>
      </c>
      <c r="AH709" t="str">
        <f t="shared" si="72"/>
        <v/>
      </c>
      <c r="AI709" t="e">
        <f t="shared" si="73"/>
        <v>#N/A</v>
      </c>
      <c r="AJ709" s="6" t="e">
        <f t="shared" si="74"/>
        <v>#N/A</v>
      </c>
      <c r="AK709" s="19" t="e">
        <f t="shared" si="75"/>
        <v>#N/A</v>
      </c>
    </row>
    <row r="710" spans="33:37">
      <c r="AG710" s="41" t="str">
        <f t="shared" si="76"/>
        <v/>
      </c>
      <c r="AH710" t="str">
        <f t="shared" si="72"/>
        <v/>
      </c>
      <c r="AI710" t="e">
        <f t="shared" si="73"/>
        <v>#N/A</v>
      </c>
      <c r="AJ710" s="6" t="e">
        <f t="shared" si="74"/>
        <v>#N/A</v>
      </c>
      <c r="AK710" s="19" t="e">
        <f t="shared" si="75"/>
        <v>#N/A</v>
      </c>
    </row>
    <row r="711" spans="33:37">
      <c r="AG711" s="41" t="str">
        <f t="shared" si="76"/>
        <v/>
      </c>
      <c r="AH711" t="str">
        <f t="shared" si="72"/>
        <v/>
      </c>
      <c r="AI711" t="e">
        <f t="shared" si="73"/>
        <v>#N/A</v>
      </c>
      <c r="AJ711" s="6" t="e">
        <f t="shared" si="74"/>
        <v>#N/A</v>
      </c>
      <c r="AK711" s="19" t="e">
        <f t="shared" si="75"/>
        <v>#N/A</v>
      </c>
    </row>
    <row r="712" spans="33:37">
      <c r="AG712" s="41" t="str">
        <f t="shared" si="76"/>
        <v/>
      </c>
      <c r="AH712" t="str">
        <f t="shared" si="72"/>
        <v/>
      </c>
      <c r="AI712" t="e">
        <f t="shared" si="73"/>
        <v>#N/A</v>
      </c>
      <c r="AJ712" s="6" t="e">
        <f t="shared" si="74"/>
        <v>#N/A</v>
      </c>
      <c r="AK712" s="19" t="e">
        <f t="shared" si="75"/>
        <v>#N/A</v>
      </c>
    </row>
    <row r="713" spans="33:37">
      <c r="AG713" s="41" t="str">
        <f t="shared" si="76"/>
        <v/>
      </c>
      <c r="AH713" t="str">
        <f t="shared" si="72"/>
        <v/>
      </c>
      <c r="AI713" t="e">
        <f t="shared" si="73"/>
        <v>#N/A</v>
      </c>
      <c r="AJ713" s="6" t="e">
        <f t="shared" si="74"/>
        <v>#N/A</v>
      </c>
      <c r="AK713" s="19" t="e">
        <f t="shared" si="75"/>
        <v>#N/A</v>
      </c>
    </row>
    <row r="714" spans="33:37">
      <c r="AG714" s="41" t="str">
        <f t="shared" si="76"/>
        <v/>
      </c>
      <c r="AH714" t="str">
        <f t="shared" si="72"/>
        <v/>
      </c>
      <c r="AI714" t="e">
        <f t="shared" si="73"/>
        <v>#N/A</v>
      </c>
      <c r="AJ714" s="6" t="e">
        <f t="shared" si="74"/>
        <v>#N/A</v>
      </c>
      <c r="AK714" s="19" t="e">
        <f t="shared" si="75"/>
        <v>#N/A</v>
      </c>
    </row>
    <row r="715" spans="33:37">
      <c r="AG715" s="41" t="str">
        <f t="shared" si="76"/>
        <v/>
      </c>
      <c r="AH715" t="str">
        <f t="shared" si="72"/>
        <v/>
      </c>
      <c r="AI715" t="e">
        <f t="shared" si="73"/>
        <v>#N/A</v>
      </c>
      <c r="AJ715" s="6" t="e">
        <f t="shared" si="74"/>
        <v>#N/A</v>
      </c>
      <c r="AK715" s="19" t="e">
        <f t="shared" si="75"/>
        <v>#N/A</v>
      </c>
    </row>
    <row r="716" spans="33:37">
      <c r="AG716" s="41" t="str">
        <f t="shared" si="76"/>
        <v/>
      </c>
      <c r="AH716" t="str">
        <f t="shared" si="72"/>
        <v/>
      </c>
      <c r="AI716" t="e">
        <f t="shared" si="73"/>
        <v>#N/A</v>
      </c>
      <c r="AJ716" s="6" t="e">
        <f t="shared" si="74"/>
        <v>#N/A</v>
      </c>
      <c r="AK716" s="19" t="e">
        <f t="shared" si="75"/>
        <v>#N/A</v>
      </c>
    </row>
    <row r="717" spans="33:37">
      <c r="AG717" s="41" t="str">
        <f t="shared" si="76"/>
        <v/>
      </c>
      <c r="AH717" t="str">
        <f t="shared" si="72"/>
        <v/>
      </c>
      <c r="AI717" t="e">
        <f t="shared" si="73"/>
        <v>#N/A</v>
      </c>
      <c r="AJ717" s="6" t="e">
        <f t="shared" si="74"/>
        <v>#N/A</v>
      </c>
      <c r="AK717" s="19" t="e">
        <f t="shared" si="75"/>
        <v>#N/A</v>
      </c>
    </row>
    <row r="718" spans="33:37">
      <c r="AG718" s="41" t="str">
        <f t="shared" si="76"/>
        <v/>
      </c>
      <c r="AH718" t="str">
        <f t="shared" si="72"/>
        <v/>
      </c>
      <c r="AI718" t="e">
        <f t="shared" si="73"/>
        <v>#N/A</v>
      </c>
      <c r="AJ718" s="6" t="e">
        <f t="shared" si="74"/>
        <v>#N/A</v>
      </c>
      <c r="AK718" s="19" t="e">
        <f t="shared" si="75"/>
        <v>#N/A</v>
      </c>
    </row>
    <row r="719" spans="33:37">
      <c r="AG719" s="41" t="str">
        <f t="shared" si="76"/>
        <v/>
      </c>
      <c r="AH719" t="str">
        <f t="shared" si="72"/>
        <v/>
      </c>
      <c r="AI719" t="e">
        <f t="shared" si="73"/>
        <v>#N/A</v>
      </c>
      <c r="AJ719" s="6" t="e">
        <f t="shared" si="74"/>
        <v>#N/A</v>
      </c>
      <c r="AK719" s="19" t="e">
        <f t="shared" si="75"/>
        <v>#N/A</v>
      </c>
    </row>
    <row r="720" spans="33:37">
      <c r="AG720" s="41" t="str">
        <f t="shared" si="76"/>
        <v/>
      </c>
      <c r="AH720" t="str">
        <f t="shared" si="72"/>
        <v/>
      </c>
      <c r="AI720" t="e">
        <f t="shared" si="73"/>
        <v>#N/A</v>
      </c>
      <c r="AJ720" s="6" t="e">
        <f t="shared" si="74"/>
        <v>#N/A</v>
      </c>
      <c r="AK720" s="19" t="e">
        <f t="shared" si="75"/>
        <v>#N/A</v>
      </c>
    </row>
    <row r="721" spans="33:37">
      <c r="AG721" s="41" t="str">
        <f t="shared" si="76"/>
        <v/>
      </c>
      <c r="AH721" t="str">
        <f t="shared" si="72"/>
        <v/>
      </c>
      <c r="AI721" t="e">
        <f t="shared" si="73"/>
        <v>#N/A</v>
      </c>
      <c r="AJ721" s="6" t="e">
        <f t="shared" si="74"/>
        <v>#N/A</v>
      </c>
      <c r="AK721" s="19" t="e">
        <f t="shared" si="75"/>
        <v>#N/A</v>
      </c>
    </row>
    <row r="722" spans="33:37">
      <c r="AG722" s="41" t="str">
        <f t="shared" si="76"/>
        <v/>
      </c>
      <c r="AH722" t="str">
        <f t="shared" si="72"/>
        <v/>
      </c>
      <c r="AI722" t="e">
        <f t="shared" si="73"/>
        <v>#N/A</v>
      </c>
      <c r="AJ722" s="6" t="e">
        <f t="shared" si="74"/>
        <v>#N/A</v>
      </c>
      <c r="AK722" s="19" t="e">
        <f t="shared" si="75"/>
        <v>#N/A</v>
      </c>
    </row>
    <row r="723" spans="33:37">
      <c r="AG723" s="41" t="str">
        <f t="shared" si="76"/>
        <v/>
      </c>
      <c r="AH723" t="str">
        <f t="shared" si="72"/>
        <v/>
      </c>
      <c r="AI723" t="e">
        <f t="shared" si="73"/>
        <v>#N/A</v>
      </c>
      <c r="AJ723" s="6" t="e">
        <f t="shared" si="74"/>
        <v>#N/A</v>
      </c>
      <c r="AK723" s="19" t="e">
        <f t="shared" si="75"/>
        <v>#N/A</v>
      </c>
    </row>
    <row r="724" spans="33:37">
      <c r="AG724" s="41" t="str">
        <f t="shared" si="76"/>
        <v/>
      </c>
      <c r="AH724" t="str">
        <f t="shared" si="72"/>
        <v/>
      </c>
      <c r="AI724" t="e">
        <f t="shared" si="73"/>
        <v>#N/A</v>
      </c>
      <c r="AJ724" s="6" t="e">
        <f t="shared" si="74"/>
        <v>#N/A</v>
      </c>
      <c r="AK724" s="19" t="e">
        <f t="shared" si="75"/>
        <v>#N/A</v>
      </c>
    </row>
    <row r="725" spans="33:37">
      <c r="AG725" s="41" t="str">
        <f t="shared" si="76"/>
        <v/>
      </c>
      <c r="AH725" t="str">
        <f t="shared" si="72"/>
        <v/>
      </c>
      <c r="AI725" t="e">
        <f t="shared" si="73"/>
        <v>#N/A</v>
      </c>
      <c r="AJ725" s="6" t="e">
        <f t="shared" si="74"/>
        <v>#N/A</v>
      </c>
      <c r="AK725" s="19" t="e">
        <f t="shared" si="75"/>
        <v>#N/A</v>
      </c>
    </row>
    <row r="726" spans="33:37">
      <c r="AG726" s="41" t="str">
        <f t="shared" si="76"/>
        <v/>
      </c>
      <c r="AH726" t="str">
        <f t="shared" si="72"/>
        <v/>
      </c>
      <c r="AI726" t="e">
        <f t="shared" si="73"/>
        <v>#N/A</v>
      </c>
      <c r="AJ726" s="6" t="e">
        <f t="shared" si="74"/>
        <v>#N/A</v>
      </c>
      <c r="AK726" s="19" t="e">
        <f t="shared" si="75"/>
        <v>#N/A</v>
      </c>
    </row>
    <row r="727" spans="33:37">
      <c r="AG727" s="41" t="str">
        <f t="shared" si="76"/>
        <v/>
      </c>
      <c r="AH727" t="str">
        <f t="shared" si="72"/>
        <v/>
      </c>
      <c r="AI727" t="e">
        <f t="shared" si="73"/>
        <v>#N/A</v>
      </c>
      <c r="AJ727" s="6" t="e">
        <f t="shared" si="74"/>
        <v>#N/A</v>
      </c>
      <c r="AK727" s="19" t="e">
        <f t="shared" si="75"/>
        <v>#N/A</v>
      </c>
    </row>
    <row r="728" spans="33:37">
      <c r="AG728" s="41" t="str">
        <f t="shared" si="76"/>
        <v/>
      </c>
      <c r="AH728" t="str">
        <f t="shared" si="72"/>
        <v/>
      </c>
      <c r="AI728" t="e">
        <f t="shared" si="73"/>
        <v>#N/A</v>
      </c>
      <c r="AJ728" s="6" t="e">
        <f t="shared" si="74"/>
        <v>#N/A</v>
      </c>
      <c r="AK728" s="19" t="e">
        <f t="shared" si="75"/>
        <v>#N/A</v>
      </c>
    </row>
    <row r="729" spans="33:37">
      <c r="AG729" s="41" t="str">
        <f t="shared" si="76"/>
        <v/>
      </c>
      <c r="AH729" t="str">
        <f t="shared" si="72"/>
        <v/>
      </c>
      <c r="AI729" t="e">
        <f t="shared" si="73"/>
        <v>#N/A</v>
      </c>
      <c r="AJ729" s="6" t="e">
        <f t="shared" si="74"/>
        <v>#N/A</v>
      </c>
      <c r="AK729" s="19" t="e">
        <f t="shared" si="75"/>
        <v>#N/A</v>
      </c>
    </row>
    <row r="730" spans="33:37">
      <c r="AG730" s="41" t="str">
        <f t="shared" si="76"/>
        <v/>
      </c>
      <c r="AH730" t="str">
        <f t="shared" si="72"/>
        <v/>
      </c>
      <c r="AI730" t="e">
        <f t="shared" si="73"/>
        <v>#N/A</v>
      </c>
      <c r="AJ730" s="6" t="e">
        <f t="shared" si="74"/>
        <v>#N/A</v>
      </c>
      <c r="AK730" s="19" t="e">
        <f t="shared" si="75"/>
        <v>#N/A</v>
      </c>
    </row>
    <row r="731" spans="33:37">
      <c r="AG731" s="41" t="str">
        <f t="shared" si="76"/>
        <v/>
      </c>
      <c r="AH731" t="str">
        <f t="shared" si="72"/>
        <v/>
      </c>
      <c r="AI731" t="e">
        <f t="shared" si="73"/>
        <v>#N/A</v>
      </c>
      <c r="AJ731" s="6" t="e">
        <f t="shared" si="74"/>
        <v>#N/A</v>
      </c>
      <c r="AK731" s="19" t="e">
        <f t="shared" si="75"/>
        <v>#N/A</v>
      </c>
    </row>
    <row r="732" spans="33:37">
      <c r="AG732" s="41" t="str">
        <f t="shared" si="76"/>
        <v/>
      </c>
      <c r="AH732" t="str">
        <f t="shared" si="72"/>
        <v/>
      </c>
      <c r="AI732" t="e">
        <f t="shared" si="73"/>
        <v>#N/A</v>
      </c>
      <c r="AJ732" s="6" t="e">
        <f t="shared" si="74"/>
        <v>#N/A</v>
      </c>
      <c r="AK732" s="19" t="e">
        <f t="shared" si="75"/>
        <v>#N/A</v>
      </c>
    </row>
    <row r="733" spans="33:37">
      <c r="AG733" s="41" t="str">
        <f t="shared" si="76"/>
        <v/>
      </c>
      <c r="AH733" t="str">
        <f t="shared" si="72"/>
        <v/>
      </c>
      <c r="AI733" t="e">
        <f t="shared" si="73"/>
        <v>#N/A</v>
      </c>
      <c r="AJ733" s="6" t="e">
        <f t="shared" si="74"/>
        <v>#N/A</v>
      </c>
      <c r="AK733" s="19" t="e">
        <f t="shared" si="75"/>
        <v>#N/A</v>
      </c>
    </row>
    <row r="734" spans="33:37">
      <c r="AG734" s="41" t="str">
        <f t="shared" si="76"/>
        <v/>
      </c>
      <c r="AH734" t="str">
        <f t="shared" si="72"/>
        <v/>
      </c>
      <c r="AI734" t="e">
        <f t="shared" si="73"/>
        <v>#N/A</v>
      </c>
      <c r="AJ734" s="6" t="e">
        <f t="shared" si="74"/>
        <v>#N/A</v>
      </c>
      <c r="AK734" s="19" t="e">
        <f t="shared" si="75"/>
        <v>#N/A</v>
      </c>
    </row>
    <row r="735" spans="33:37">
      <c r="AG735" s="41" t="str">
        <f t="shared" si="76"/>
        <v/>
      </c>
      <c r="AH735" t="str">
        <f t="shared" si="72"/>
        <v/>
      </c>
      <c r="AI735" t="e">
        <f t="shared" si="73"/>
        <v>#N/A</v>
      </c>
      <c r="AJ735" s="6" t="e">
        <f t="shared" si="74"/>
        <v>#N/A</v>
      </c>
      <c r="AK735" s="19" t="e">
        <f t="shared" si="75"/>
        <v>#N/A</v>
      </c>
    </row>
    <row r="736" spans="33:37">
      <c r="AG736" s="41" t="str">
        <f t="shared" si="76"/>
        <v/>
      </c>
      <c r="AH736" t="str">
        <f t="shared" si="72"/>
        <v/>
      </c>
      <c r="AI736" t="e">
        <f t="shared" si="73"/>
        <v>#N/A</v>
      </c>
      <c r="AJ736" s="6" t="e">
        <f t="shared" si="74"/>
        <v>#N/A</v>
      </c>
      <c r="AK736" s="19" t="e">
        <f t="shared" si="75"/>
        <v>#N/A</v>
      </c>
    </row>
    <row r="737" spans="33:37">
      <c r="AG737" s="41" t="str">
        <f t="shared" si="76"/>
        <v/>
      </c>
      <c r="AH737" t="str">
        <f t="shared" si="72"/>
        <v/>
      </c>
      <c r="AI737" t="e">
        <f t="shared" si="73"/>
        <v>#N/A</v>
      </c>
      <c r="AJ737" s="6" t="e">
        <f t="shared" si="74"/>
        <v>#N/A</v>
      </c>
      <c r="AK737" s="19" t="e">
        <f t="shared" si="75"/>
        <v>#N/A</v>
      </c>
    </row>
    <row r="738" spans="33:37">
      <c r="AG738" s="41" t="str">
        <f t="shared" si="76"/>
        <v/>
      </c>
      <c r="AH738" t="str">
        <f t="shared" si="72"/>
        <v/>
      </c>
      <c r="AI738" t="e">
        <f t="shared" si="73"/>
        <v>#N/A</v>
      </c>
      <c r="AJ738" s="6" t="e">
        <f t="shared" si="74"/>
        <v>#N/A</v>
      </c>
      <c r="AK738" s="19" t="e">
        <f t="shared" si="75"/>
        <v>#N/A</v>
      </c>
    </row>
    <row r="739" spans="33:37">
      <c r="AG739" s="41" t="str">
        <f t="shared" si="76"/>
        <v/>
      </c>
      <c r="AH739" t="str">
        <f t="shared" si="72"/>
        <v/>
      </c>
      <c r="AI739" t="e">
        <f t="shared" si="73"/>
        <v>#N/A</v>
      </c>
      <c r="AJ739" s="6" t="e">
        <f t="shared" si="74"/>
        <v>#N/A</v>
      </c>
      <c r="AK739" s="19" t="e">
        <f t="shared" si="75"/>
        <v>#N/A</v>
      </c>
    </row>
    <row r="740" spans="33:37">
      <c r="AG740" s="41" t="str">
        <f t="shared" si="76"/>
        <v/>
      </c>
      <c r="AH740" t="str">
        <f t="shared" si="72"/>
        <v/>
      </c>
      <c r="AI740" t="e">
        <f t="shared" si="73"/>
        <v>#N/A</v>
      </c>
      <c r="AJ740" s="6" t="e">
        <f t="shared" si="74"/>
        <v>#N/A</v>
      </c>
      <c r="AK740" s="19" t="e">
        <f t="shared" si="75"/>
        <v>#N/A</v>
      </c>
    </row>
    <row r="741" spans="33:37">
      <c r="AG741" s="41" t="str">
        <f t="shared" si="76"/>
        <v/>
      </c>
      <c r="AH741" t="str">
        <f t="shared" si="72"/>
        <v/>
      </c>
      <c r="AI741" t="e">
        <f t="shared" si="73"/>
        <v>#N/A</v>
      </c>
      <c r="AJ741" s="6" t="e">
        <f t="shared" si="74"/>
        <v>#N/A</v>
      </c>
      <c r="AK741" s="19" t="e">
        <f t="shared" si="75"/>
        <v>#N/A</v>
      </c>
    </row>
    <row r="742" spans="33:37">
      <c r="AG742" s="41" t="str">
        <f t="shared" si="76"/>
        <v/>
      </c>
      <c r="AH742" t="str">
        <f t="shared" si="72"/>
        <v/>
      </c>
      <c r="AI742" t="e">
        <f t="shared" si="73"/>
        <v>#N/A</v>
      </c>
      <c r="AJ742" s="6" t="e">
        <f t="shared" si="74"/>
        <v>#N/A</v>
      </c>
      <c r="AK742" s="19" t="e">
        <f t="shared" si="75"/>
        <v>#N/A</v>
      </c>
    </row>
    <row r="743" spans="33:37">
      <c r="AG743" s="41" t="str">
        <f t="shared" si="76"/>
        <v/>
      </c>
      <c r="AH743" t="str">
        <f t="shared" si="72"/>
        <v/>
      </c>
      <c r="AI743" t="e">
        <f t="shared" si="73"/>
        <v>#N/A</v>
      </c>
      <c r="AJ743" s="6" t="e">
        <f t="shared" si="74"/>
        <v>#N/A</v>
      </c>
      <c r="AK743" s="19" t="e">
        <f t="shared" si="75"/>
        <v>#N/A</v>
      </c>
    </row>
    <row r="744" spans="33:37">
      <c r="AG744" s="41" t="str">
        <f t="shared" si="76"/>
        <v/>
      </c>
      <c r="AH744" t="str">
        <f t="shared" si="72"/>
        <v/>
      </c>
      <c r="AI744" t="e">
        <f t="shared" si="73"/>
        <v>#N/A</v>
      </c>
      <c r="AJ744" s="6" t="e">
        <f t="shared" si="74"/>
        <v>#N/A</v>
      </c>
      <c r="AK744" s="19" t="e">
        <f t="shared" si="75"/>
        <v>#N/A</v>
      </c>
    </row>
    <row r="745" spans="33:37">
      <c r="AG745" s="41" t="str">
        <f t="shared" si="76"/>
        <v/>
      </c>
      <c r="AH745" t="str">
        <f t="shared" si="72"/>
        <v/>
      </c>
      <c r="AI745" t="e">
        <f t="shared" si="73"/>
        <v>#N/A</v>
      </c>
      <c r="AJ745" s="6" t="e">
        <f t="shared" si="74"/>
        <v>#N/A</v>
      </c>
      <c r="AK745" s="19" t="e">
        <f t="shared" si="75"/>
        <v>#N/A</v>
      </c>
    </row>
    <row r="746" spans="33:37">
      <c r="AG746" s="41" t="str">
        <f t="shared" si="76"/>
        <v/>
      </c>
      <c r="AH746" t="str">
        <f t="shared" si="72"/>
        <v/>
      </c>
      <c r="AI746" t="e">
        <f t="shared" si="73"/>
        <v>#N/A</v>
      </c>
      <c r="AJ746" s="6" t="e">
        <f t="shared" si="74"/>
        <v>#N/A</v>
      </c>
      <c r="AK746" s="19" t="e">
        <f t="shared" si="75"/>
        <v>#N/A</v>
      </c>
    </row>
    <row r="747" spans="33:37">
      <c r="AG747" s="41" t="str">
        <f t="shared" si="76"/>
        <v/>
      </c>
      <c r="AH747" t="str">
        <f t="shared" si="72"/>
        <v/>
      </c>
      <c r="AI747" t="e">
        <f t="shared" si="73"/>
        <v>#N/A</v>
      </c>
      <c r="AJ747" s="6" t="e">
        <f t="shared" si="74"/>
        <v>#N/A</v>
      </c>
      <c r="AK747" s="19" t="e">
        <f t="shared" si="75"/>
        <v>#N/A</v>
      </c>
    </row>
    <row r="748" spans="33:37">
      <c r="AG748" s="41" t="str">
        <f t="shared" si="76"/>
        <v/>
      </c>
      <c r="AH748" t="str">
        <f t="shared" si="72"/>
        <v/>
      </c>
      <c r="AI748" t="e">
        <f t="shared" si="73"/>
        <v>#N/A</v>
      </c>
      <c r="AJ748" s="6" t="e">
        <f t="shared" si="74"/>
        <v>#N/A</v>
      </c>
      <c r="AK748" s="19" t="e">
        <f t="shared" si="75"/>
        <v>#N/A</v>
      </c>
    </row>
    <row r="749" spans="33:37">
      <c r="AG749" s="41" t="str">
        <f t="shared" si="76"/>
        <v/>
      </c>
      <c r="AH749" t="str">
        <f t="shared" si="72"/>
        <v/>
      </c>
      <c r="AI749" t="e">
        <f t="shared" si="73"/>
        <v>#N/A</v>
      </c>
      <c r="AJ749" s="6" t="e">
        <f t="shared" si="74"/>
        <v>#N/A</v>
      </c>
      <c r="AK749" s="19" t="e">
        <f t="shared" si="75"/>
        <v>#N/A</v>
      </c>
    </row>
    <row r="750" spans="33:37">
      <c r="AG750" s="41" t="str">
        <f t="shared" si="76"/>
        <v/>
      </c>
      <c r="AH750" t="str">
        <f t="shared" si="72"/>
        <v/>
      </c>
      <c r="AI750" t="e">
        <f t="shared" si="73"/>
        <v>#N/A</v>
      </c>
      <c r="AJ750" s="6" t="e">
        <f t="shared" si="74"/>
        <v>#N/A</v>
      </c>
      <c r="AK750" s="19" t="e">
        <f t="shared" si="75"/>
        <v>#N/A</v>
      </c>
    </row>
    <row r="751" spans="33:37">
      <c r="AG751" s="41" t="str">
        <f t="shared" si="76"/>
        <v/>
      </c>
      <c r="AH751" t="str">
        <f t="shared" si="72"/>
        <v/>
      </c>
      <c r="AI751" t="e">
        <f t="shared" si="73"/>
        <v>#N/A</v>
      </c>
      <c r="AJ751" s="6" t="e">
        <f t="shared" si="74"/>
        <v>#N/A</v>
      </c>
      <c r="AK751" s="19" t="e">
        <f t="shared" si="75"/>
        <v>#N/A</v>
      </c>
    </row>
    <row r="752" spans="33:37">
      <c r="AG752" s="41" t="str">
        <f t="shared" si="76"/>
        <v/>
      </c>
      <c r="AH752" t="str">
        <f t="shared" si="72"/>
        <v/>
      </c>
      <c r="AI752" t="e">
        <f t="shared" si="73"/>
        <v>#N/A</v>
      </c>
      <c r="AJ752" s="6" t="e">
        <f t="shared" si="74"/>
        <v>#N/A</v>
      </c>
      <c r="AK752" s="19" t="e">
        <f t="shared" si="75"/>
        <v>#N/A</v>
      </c>
    </row>
    <row r="753" spans="33:37">
      <c r="AG753" s="41" t="str">
        <f t="shared" si="76"/>
        <v/>
      </c>
      <c r="AH753" t="str">
        <f t="shared" si="72"/>
        <v/>
      </c>
      <c r="AI753" t="e">
        <f t="shared" si="73"/>
        <v>#N/A</v>
      </c>
      <c r="AJ753" s="6" t="e">
        <f t="shared" si="74"/>
        <v>#N/A</v>
      </c>
      <c r="AK753" s="19" t="e">
        <f t="shared" si="75"/>
        <v>#N/A</v>
      </c>
    </row>
    <row r="754" spans="33:37">
      <c r="AG754" s="41" t="str">
        <f t="shared" si="76"/>
        <v/>
      </c>
      <c r="AH754" t="str">
        <f t="shared" si="72"/>
        <v/>
      </c>
      <c r="AI754" t="e">
        <f t="shared" si="73"/>
        <v>#N/A</v>
      </c>
      <c r="AJ754" s="6" t="e">
        <f t="shared" si="74"/>
        <v>#N/A</v>
      </c>
      <c r="AK754" s="19" t="e">
        <f t="shared" si="75"/>
        <v>#N/A</v>
      </c>
    </row>
    <row r="755" spans="33:37">
      <c r="AG755" s="41" t="str">
        <f t="shared" si="76"/>
        <v/>
      </c>
      <c r="AH755" t="str">
        <f t="shared" si="72"/>
        <v/>
      </c>
      <c r="AI755" t="e">
        <f t="shared" si="73"/>
        <v>#N/A</v>
      </c>
      <c r="AJ755" s="6" t="e">
        <f t="shared" si="74"/>
        <v>#N/A</v>
      </c>
      <c r="AK755" s="19" t="e">
        <f t="shared" si="75"/>
        <v>#N/A</v>
      </c>
    </row>
    <row r="756" spans="33:37">
      <c r="AG756" s="41" t="str">
        <f t="shared" si="76"/>
        <v/>
      </c>
      <c r="AH756" t="str">
        <f t="shared" si="72"/>
        <v/>
      </c>
      <c r="AI756" t="e">
        <f t="shared" si="73"/>
        <v>#N/A</v>
      </c>
      <c r="AJ756" s="6" t="e">
        <f t="shared" si="74"/>
        <v>#N/A</v>
      </c>
      <c r="AK756" s="19" t="e">
        <f t="shared" si="75"/>
        <v>#N/A</v>
      </c>
    </row>
    <row r="757" spans="33:37">
      <c r="AG757" s="41" t="str">
        <f t="shared" si="76"/>
        <v/>
      </c>
      <c r="AH757" t="str">
        <f t="shared" si="72"/>
        <v/>
      </c>
      <c r="AI757" t="e">
        <f t="shared" si="73"/>
        <v>#N/A</v>
      </c>
      <c r="AJ757" s="6" t="e">
        <f t="shared" si="74"/>
        <v>#N/A</v>
      </c>
      <c r="AK757" s="19" t="e">
        <f t="shared" si="75"/>
        <v>#N/A</v>
      </c>
    </row>
    <row r="758" spans="33:37">
      <c r="AG758" s="41" t="str">
        <f t="shared" si="76"/>
        <v/>
      </c>
      <c r="AH758" t="str">
        <f t="shared" si="72"/>
        <v/>
      </c>
      <c r="AI758" t="e">
        <f t="shared" si="73"/>
        <v>#N/A</v>
      </c>
      <c r="AJ758" s="6" t="e">
        <f t="shared" si="74"/>
        <v>#N/A</v>
      </c>
      <c r="AK758" s="19" t="e">
        <f t="shared" si="75"/>
        <v>#N/A</v>
      </c>
    </row>
    <row r="759" spans="33:37">
      <c r="AG759" s="41" t="str">
        <f t="shared" si="76"/>
        <v/>
      </c>
      <c r="AH759" t="str">
        <f t="shared" si="72"/>
        <v/>
      </c>
      <c r="AI759" t="e">
        <f t="shared" si="73"/>
        <v>#N/A</v>
      </c>
      <c r="AJ759" s="6" t="e">
        <f t="shared" si="74"/>
        <v>#N/A</v>
      </c>
      <c r="AK759" s="19" t="e">
        <f t="shared" si="75"/>
        <v>#N/A</v>
      </c>
    </row>
    <row r="760" spans="33:37">
      <c r="AG760" s="41" t="str">
        <f t="shared" si="76"/>
        <v/>
      </c>
      <c r="AH760" t="str">
        <f t="shared" si="72"/>
        <v/>
      </c>
      <c r="AI760" t="e">
        <f t="shared" si="73"/>
        <v>#N/A</v>
      </c>
      <c r="AJ760" s="6" t="e">
        <f t="shared" si="74"/>
        <v>#N/A</v>
      </c>
      <c r="AK760" s="19" t="e">
        <f t="shared" si="75"/>
        <v>#N/A</v>
      </c>
    </row>
    <row r="761" spans="33:37">
      <c r="AG761" s="41" t="str">
        <f t="shared" si="76"/>
        <v/>
      </c>
      <c r="AH761" t="str">
        <f t="shared" ref="AH761:AH824" si="77">IF(AG761&lt;&gt;"",MID($AE$4,AG761,1),"")</f>
        <v/>
      </c>
      <c r="AI761" t="e">
        <f t="shared" ref="AI761:AI824" si="78">IFERROR(VLOOKUP(AH761,$AA$4:$AB$13,2,0),VLOOKUP(AH761,$AC$4:$AD$13,2,0))</f>
        <v>#N/A</v>
      </c>
      <c r="AJ761" s="6" t="e">
        <f t="shared" ref="AJ761:AJ824" si="79">IF(AND(AI760="Rg",AI762="Rg"),"2Rg",IF(AND(AI760="Rg",AI762="Fx"),"RgFx",IF(AND(AI760="Fx",AI762="Rg"),"RgFx",IF(AND(AI760="Fx",AI762="Fx"),"2Fx",""))))</f>
        <v>#N/A</v>
      </c>
      <c r="AK761" s="19" t="e">
        <f t="shared" ref="AK761:AK824" si="80">IF(AJ761&lt;&gt;"",VLOOKUP(AJ761,mv,HLOOKUP(AH761,mh,2,0),0),"")</f>
        <v>#N/A</v>
      </c>
    </row>
    <row r="762" spans="33:37">
      <c r="AG762" s="41" t="str">
        <f t="shared" si="76"/>
        <v/>
      </c>
      <c r="AH762" t="str">
        <f t="shared" si="77"/>
        <v/>
      </c>
      <c r="AI762" t="e">
        <f t="shared" si="78"/>
        <v>#N/A</v>
      </c>
      <c r="AJ762" s="6" t="e">
        <f t="shared" si="79"/>
        <v>#N/A</v>
      </c>
      <c r="AK762" s="19" t="e">
        <f t="shared" si="80"/>
        <v>#N/A</v>
      </c>
    </row>
    <row r="763" spans="33:37">
      <c r="AG763" s="41" t="str">
        <f t="shared" si="76"/>
        <v/>
      </c>
      <c r="AH763" t="str">
        <f t="shared" si="77"/>
        <v/>
      </c>
      <c r="AI763" t="e">
        <f t="shared" si="78"/>
        <v>#N/A</v>
      </c>
      <c r="AJ763" s="6" t="e">
        <f t="shared" si="79"/>
        <v>#N/A</v>
      </c>
      <c r="AK763" s="19" t="e">
        <f t="shared" si="80"/>
        <v>#N/A</v>
      </c>
    </row>
    <row r="764" spans="33:37">
      <c r="AG764" s="41" t="str">
        <f t="shared" si="76"/>
        <v/>
      </c>
      <c r="AH764" t="str">
        <f t="shared" si="77"/>
        <v/>
      </c>
      <c r="AI764" t="e">
        <f t="shared" si="78"/>
        <v>#N/A</v>
      </c>
      <c r="AJ764" s="6" t="e">
        <f t="shared" si="79"/>
        <v>#N/A</v>
      </c>
      <c r="AK764" s="19" t="e">
        <f t="shared" si="80"/>
        <v>#N/A</v>
      </c>
    </row>
    <row r="765" spans="33:37">
      <c r="AG765" s="41" t="str">
        <f t="shared" si="76"/>
        <v/>
      </c>
      <c r="AH765" t="str">
        <f t="shared" si="77"/>
        <v/>
      </c>
      <c r="AI765" t="e">
        <f t="shared" si="78"/>
        <v>#N/A</v>
      </c>
      <c r="AJ765" s="6" t="e">
        <f t="shared" si="79"/>
        <v>#N/A</v>
      </c>
      <c r="AK765" s="19" t="e">
        <f t="shared" si="80"/>
        <v>#N/A</v>
      </c>
    </row>
    <row r="766" spans="33:37">
      <c r="AG766" s="41" t="str">
        <f t="shared" si="76"/>
        <v/>
      </c>
      <c r="AH766" t="str">
        <f t="shared" si="77"/>
        <v/>
      </c>
      <c r="AI766" t="e">
        <f t="shared" si="78"/>
        <v>#N/A</v>
      </c>
      <c r="AJ766" s="6" t="e">
        <f t="shared" si="79"/>
        <v>#N/A</v>
      </c>
      <c r="AK766" s="19" t="e">
        <f t="shared" si="80"/>
        <v>#N/A</v>
      </c>
    </row>
    <row r="767" spans="33:37">
      <c r="AG767" s="41" t="str">
        <f t="shared" si="76"/>
        <v/>
      </c>
      <c r="AH767" t="str">
        <f t="shared" si="77"/>
        <v/>
      </c>
      <c r="AI767" t="e">
        <f t="shared" si="78"/>
        <v>#N/A</v>
      </c>
      <c r="AJ767" s="6" t="e">
        <f t="shared" si="79"/>
        <v>#N/A</v>
      </c>
      <c r="AK767" s="19" t="e">
        <f t="shared" si="80"/>
        <v>#N/A</v>
      </c>
    </row>
    <row r="768" spans="33:37">
      <c r="AG768" s="41" t="str">
        <f t="shared" si="76"/>
        <v/>
      </c>
      <c r="AH768" t="str">
        <f t="shared" si="77"/>
        <v/>
      </c>
      <c r="AI768" t="e">
        <f t="shared" si="78"/>
        <v>#N/A</v>
      </c>
      <c r="AJ768" s="6" t="e">
        <f t="shared" si="79"/>
        <v>#N/A</v>
      </c>
      <c r="AK768" s="19" t="e">
        <f t="shared" si="80"/>
        <v>#N/A</v>
      </c>
    </row>
    <row r="769" spans="33:37">
      <c r="AG769" s="41" t="str">
        <f t="shared" si="76"/>
        <v/>
      </c>
      <c r="AH769" t="str">
        <f t="shared" si="77"/>
        <v/>
      </c>
      <c r="AI769" t="e">
        <f t="shared" si="78"/>
        <v>#N/A</v>
      </c>
      <c r="AJ769" s="6" t="e">
        <f t="shared" si="79"/>
        <v>#N/A</v>
      </c>
      <c r="AK769" s="19" t="e">
        <f t="shared" si="80"/>
        <v>#N/A</v>
      </c>
    </row>
    <row r="770" spans="33:37">
      <c r="AG770" s="41" t="str">
        <f t="shared" si="76"/>
        <v/>
      </c>
      <c r="AH770" t="str">
        <f t="shared" si="77"/>
        <v/>
      </c>
      <c r="AI770" t="e">
        <f t="shared" si="78"/>
        <v>#N/A</v>
      </c>
      <c r="AJ770" s="6" t="e">
        <f t="shared" si="79"/>
        <v>#N/A</v>
      </c>
      <c r="AK770" s="19" t="e">
        <f t="shared" si="80"/>
        <v>#N/A</v>
      </c>
    </row>
    <row r="771" spans="33:37">
      <c r="AG771" s="41" t="str">
        <f t="shared" si="76"/>
        <v/>
      </c>
      <c r="AH771" t="str">
        <f t="shared" si="77"/>
        <v/>
      </c>
      <c r="AI771" t="e">
        <f t="shared" si="78"/>
        <v>#N/A</v>
      </c>
      <c r="AJ771" s="6" t="e">
        <f t="shared" si="79"/>
        <v>#N/A</v>
      </c>
      <c r="AK771" s="19" t="e">
        <f t="shared" si="80"/>
        <v>#N/A</v>
      </c>
    </row>
    <row r="772" spans="33:37">
      <c r="AG772" s="41" t="str">
        <f t="shared" si="76"/>
        <v/>
      </c>
      <c r="AH772" t="str">
        <f t="shared" si="77"/>
        <v/>
      </c>
      <c r="AI772" t="e">
        <f t="shared" si="78"/>
        <v>#N/A</v>
      </c>
      <c r="AJ772" s="6" t="e">
        <f t="shared" si="79"/>
        <v>#N/A</v>
      </c>
      <c r="AK772" s="19" t="e">
        <f t="shared" si="80"/>
        <v>#N/A</v>
      </c>
    </row>
    <row r="773" spans="33:37">
      <c r="AG773" s="41" t="str">
        <f t="shared" ref="AG773:AG836" si="81">IF(AG772&lt;$AF$4,AG772+1,"")</f>
        <v/>
      </c>
      <c r="AH773" t="str">
        <f t="shared" si="77"/>
        <v/>
      </c>
      <c r="AI773" t="e">
        <f t="shared" si="78"/>
        <v>#N/A</v>
      </c>
      <c r="AJ773" s="6" t="e">
        <f t="shared" si="79"/>
        <v>#N/A</v>
      </c>
      <c r="AK773" s="19" t="e">
        <f t="shared" si="80"/>
        <v>#N/A</v>
      </c>
    </row>
    <row r="774" spans="33:37">
      <c r="AG774" s="41" t="str">
        <f t="shared" si="81"/>
        <v/>
      </c>
      <c r="AH774" t="str">
        <f t="shared" si="77"/>
        <v/>
      </c>
      <c r="AI774" t="e">
        <f t="shared" si="78"/>
        <v>#N/A</v>
      </c>
      <c r="AJ774" s="6" t="e">
        <f t="shared" si="79"/>
        <v>#N/A</v>
      </c>
      <c r="AK774" s="19" t="e">
        <f t="shared" si="80"/>
        <v>#N/A</v>
      </c>
    </row>
    <row r="775" spans="33:37">
      <c r="AG775" s="41" t="str">
        <f t="shared" si="81"/>
        <v/>
      </c>
      <c r="AH775" t="str">
        <f t="shared" si="77"/>
        <v/>
      </c>
      <c r="AI775" t="e">
        <f t="shared" si="78"/>
        <v>#N/A</v>
      </c>
      <c r="AJ775" s="6" t="e">
        <f t="shared" si="79"/>
        <v>#N/A</v>
      </c>
      <c r="AK775" s="19" t="e">
        <f t="shared" si="80"/>
        <v>#N/A</v>
      </c>
    </row>
    <row r="776" spans="33:37">
      <c r="AG776" s="41" t="str">
        <f t="shared" si="81"/>
        <v/>
      </c>
      <c r="AH776" t="str">
        <f t="shared" si="77"/>
        <v/>
      </c>
      <c r="AI776" t="e">
        <f t="shared" si="78"/>
        <v>#N/A</v>
      </c>
      <c r="AJ776" s="6" t="e">
        <f t="shared" si="79"/>
        <v>#N/A</v>
      </c>
      <c r="AK776" s="19" t="e">
        <f t="shared" si="80"/>
        <v>#N/A</v>
      </c>
    </row>
    <row r="777" spans="33:37">
      <c r="AG777" s="41" t="str">
        <f t="shared" si="81"/>
        <v/>
      </c>
      <c r="AH777" t="str">
        <f t="shared" si="77"/>
        <v/>
      </c>
      <c r="AI777" t="e">
        <f t="shared" si="78"/>
        <v>#N/A</v>
      </c>
      <c r="AJ777" s="6" t="e">
        <f t="shared" si="79"/>
        <v>#N/A</v>
      </c>
      <c r="AK777" s="19" t="e">
        <f t="shared" si="80"/>
        <v>#N/A</v>
      </c>
    </row>
    <row r="778" spans="33:37">
      <c r="AG778" s="41" t="str">
        <f t="shared" si="81"/>
        <v/>
      </c>
      <c r="AH778" t="str">
        <f t="shared" si="77"/>
        <v/>
      </c>
      <c r="AI778" t="e">
        <f t="shared" si="78"/>
        <v>#N/A</v>
      </c>
      <c r="AJ778" s="6" t="e">
        <f t="shared" si="79"/>
        <v>#N/A</v>
      </c>
      <c r="AK778" s="19" t="e">
        <f t="shared" si="80"/>
        <v>#N/A</v>
      </c>
    </row>
    <row r="779" spans="33:37">
      <c r="AG779" s="41" t="str">
        <f t="shared" si="81"/>
        <v/>
      </c>
      <c r="AH779" t="str">
        <f t="shared" si="77"/>
        <v/>
      </c>
      <c r="AI779" t="e">
        <f t="shared" si="78"/>
        <v>#N/A</v>
      </c>
      <c r="AJ779" s="6" t="e">
        <f t="shared" si="79"/>
        <v>#N/A</v>
      </c>
      <c r="AK779" s="19" t="e">
        <f t="shared" si="80"/>
        <v>#N/A</v>
      </c>
    </row>
    <row r="780" spans="33:37">
      <c r="AG780" s="41" t="str">
        <f t="shared" si="81"/>
        <v/>
      </c>
      <c r="AH780" t="str">
        <f t="shared" si="77"/>
        <v/>
      </c>
      <c r="AI780" t="e">
        <f t="shared" si="78"/>
        <v>#N/A</v>
      </c>
      <c r="AJ780" s="6" t="e">
        <f t="shared" si="79"/>
        <v>#N/A</v>
      </c>
      <c r="AK780" s="19" t="e">
        <f t="shared" si="80"/>
        <v>#N/A</v>
      </c>
    </row>
    <row r="781" spans="33:37">
      <c r="AG781" s="41" t="str">
        <f t="shared" si="81"/>
        <v/>
      </c>
      <c r="AH781" t="str">
        <f t="shared" si="77"/>
        <v/>
      </c>
      <c r="AI781" t="e">
        <f t="shared" si="78"/>
        <v>#N/A</v>
      </c>
      <c r="AJ781" s="6" t="e">
        <f t="shared" si="79"/>
        <v>#N/A</v>
      </c>
      <c r="AK781" s="19" t="e">
        <f t="shared" si="80"/>
        <v>#N/A</v>
      </c>
    </row>
    <row r="782" spans="33:37">
      <c r="AG782" s="41" t="str">
        <f t="shared" si="81"/>
        <v/>
      </c>
      <c r="AH782" t="str">
        <f t="shared" si="77"/>
        <v/>
      </c>
      <c r="AI782" t="e">
        <f t="shared" si="78"/>
        <v>#N/A</v>
      </c>
      <c r="AJ782" s="6" t="e">
        <f t="shared" si="79"/>
        <v>#N/A</v>
      </c>
      <c r="AK782" s="19" t="e">
        <f t="shared" si="80"/>
        <v>#N/A</v>
      </c>
    </row>
    <row r="783" spans="33:37">
      <c r="AG783" s="41" t="str">
        <f t="shared" si="81"/>
        <v/>
      </c>
      <c r="AH783" t="str">
        <f t="shared" si="77"/>
        <v/>
      </c>
      <c r="AI783" t="e">
        <f t="shared" si="78"/>
        <v>#N/A</v>
      </c>
      <c r="AJ783" s="6" t="e">
        <f t="shared" si="79"/>
        <v>#N/A</v>
      </c>
      <c r="AK783" s="19" t="e">
        <f t="shared" si="80"/>
        <v>#N/A</v>
      </c>
    </row>
    <row r="784" spans="33:37">
      <c r="AG784" s="41" t="str">
        <f t="shared" si="81"/>
        <v/>
      </c>
      <c r="AH784" t="str">
        <f t="shared" si="77"/>
        <v/>
      </c>
      <c r="AI784" t="e">
        <f t="shared" si="78"/>
        <v>#N/A</v>
      </c>
      <c r="AJ784" s="6" t="e">
        <f t="shared" si="79"/>
        <v>#N/A</v>
      </c>
      <c r="AK784" s="19" t="e">
        <f t="shared" si="80"/>
        <v>#N/A</v>
      </c>
    </row>
    <row r="785" spans="33:37">
      <c r="AG785" s="41" t="str">
        <f t="shared" si="81"/>
        <v/>
      </c>
      <c r="AH785" t="str">
        <f t="shared" si="77"/>
        <v/>
      </c>
      <c r="AI785" t="e">
        <f t="shared" si="78"/>
        <v>#N/A</v>
      </c>
      <c r="AJ785" s="6" t="e">
        <f t="shared" si="79"/>
        <v>#N/A</v>
      </c>
      <c r="AK785" s="19" t="e">
        <f t="shared" si="80"/>
        <v>#N/A</v>
      </c>
    </row>
    <row r="786" spans="33:37">
      <c r="AG786" s="41" t="str">
        <f t="shared" si="81"/>
        <v/>
      </c>
      <c r="AH786" t="str">
        <f t="shared" si="77"/>
        <v/>
      </c>
      <c r="AI786" t="e">
        <f t="shared" si="78"/>
        <v>#N/A</v>
      </c>
      <c r="AJ786" s="6" t="e">
        <f t="shared" si="79"/>
        <v>#N/A</v>
      </c>
      <c r="AK786" s="19" t="e">
        <f t="shared" si="80"/>
        <v>#N/A</v>
      </c>
    </row>
    <row r="787" spans="33:37">
      <c r="AG787" s="41" t="str">
        <f t="shared" si="81"/>
        <v/>
      </c>
      <c r="AH787" t="str">
        <f t="shared" si="77"/>
        <v/>
      </c>
      <c r="AI787" t="e">
        <f t="shared" si="78"/>
        <v>#N/A</v>
      </c>
      <c r="AJ787" s="6" t="e">
        <f t="shared" si="79"/>
        <v>#N/A</v>
      </c>
      <c r="AK787" s="19" t="e">
        <f t="shared" si="80"/>
        <v>#N/A</v>
      </c>
    </row>
    <row r="788" spans="33:37">
      <c r="AG788" s="41" t="str">
        <f t="shared" si="81"/>
        <v/>
      </c>
      <c r="AH788" t="str">
        <f t="shared" si="77"/>
        <v/>
      </c>
      <c r="AI788" t="e">
        <f t="shared" si="78"/>
        <v>#N/A</v>
      </c>
      <c r="AJ788" s="6" t="e">
        <f t="shared" si="79"/>
        <v>#N/A</v>
      </c>
      <c r="AK788" s="19" t="e">
        <f t="shared" si="80"/>
        <v>#N/A</v>
      </c>
    </row>
    <row r="789" spans="33:37">
      <c r="AG789" s="41" t="str">
        <f t="shared" si="81"/>
        <v/>
      </c>
      <c r="AH789" t="str">
        <f t="shared" si="77"/>
        <v/>
      </c>
      <c r="AI789" t="e">
        <f t="shared" si="78"/>
        <v>#N/A</v>
      </c>
      <c r="AJ789" s="6" t="e">
        <f t="shared" si="79"/>
        <v>#N/A</v>
      </c>
      <c r="AK789" s="19" t="e">
        <f t="shared" si="80"/>
        <v>#N/A</v>
      </c>
    </row>
    <row r="790" spans="33:37">
      <c r="AG790" s="41" t="str">
        <f t="shared" si="81"/>
        <v/>
      </c>
      <c r="AH790" t="str">
        <f t="shared" si="77"/>
        <v/>
      </c>
      <c r="AI790" t="e">
        <f t="shared" si="78"/>
        <v>#N/A</v>
      </c>
      <c r="AJ790" s="6" t="e">
        <f t="shared" si="79"/>
        <v>#N/A</v>
      </c>
      <c r="AK790" s="19" t="e">
        <f t="shared" si="80"/>
        <v>#N/A</v>
      </c>
    </row>
    <row r="791" spans="33:37">
      <c r="AG791" s="41" t="str">
        <f t="shared" si="81"/>
        <v/>
      </c>
      <c r="AH791" t="str">
        <f t="shared" si="77"/>
        <v/>
      </c>
      <c r="AI791" t="e">
        <f t="shared" si="78"/>
        <v>#N/A</v>
      </c>
      <c r="AJ791" s="6" t="e">
        <f t="shared" si="79"/>
        <v>#N/A</v>
      </c>
      <c r="AK791" s="19" t="e">
        <f t="shared" si="80"/>
        <v>#N/A</v>
      </c>
    </row>
    <row r="792" spans="33:37">
      <c r="AG792" s="41" t="str">
        <f t="shared" si="81"/>
        <v/>
      </c>
      <c r="AH792" t="str">
        <f t="shared" si="77"/>
        <v/>
      </c>
      <c r="AI792" t="e">
        <f t="shared" si="78"/>
        <v>#N/A</v>
      </c>
      <c r="AJ792" s="6" t="e">
        <f t="shared" si="79"/>
        <v>#N/A</v>
      </c>
      <c r="AK792" s="19" t="e">
        <f t="shared" si="80"/>
        <v>#N/A</v>
      </c>
    </row>
    <row r="793" spans="33:37">
      <c r="AG793" s="41" t="str">
        <f t="shared" si="81"/>
        <v/>
      </c>
      <c r="AH793" t="str">
        <f t="shared" si="77"/>
        <v/>
      </c>
      <c r="AI793" t="e">
        <f t="shared" si="78"/>
        <v>#N/A</v>
      </c>
      <c r="AJ793" s="6" t="e">
        <f t="shared" si="79"/>
        <v>#N/A</v>
      </c>
      <c r="AK793" s="19" t="e">
        <f t="shared" si="80"/>
        <v>#N/A</v>
      </c>
    </row>
    <row r="794" spans="33:37">
      <c r="AG794" s="41" t="str">
        <f t="shared" si="81"/>
        <v/>
      </c>
      <c r="AH794" t="str">
        <f t="shared" si="77"/>
        <v/>
      </c>
      <c r="AI794" t="e">
        <f t="shared" si="78"/>
        <v>#N/A</v>
      </c>
      <c r="AJ794" s="6" t="e">
        <f t="shared" si="79"/>
        <v>#N/A</v>
      </c>
      <c r="AK794" s="19" t="e">
        <f t="shared" si="80"/>
        <v>#N/A</v>
      </c>
    </row>
    <row r="795" spans="33:37">
      <c r="AG795" s="41" t="str">
        <f t="shared" si="81"/>
        <v/>
      </c>
      <c r="AH795" t="str">
        <f t="shared" si="77"/>
        <v/>
      </c>
      <c r="AI795" t="e">
        <f t="shared" si="78"/>
        <v>#N/A</v>
      </c>
      <c r="AJ795" s="6" t="e">
        <f t="shared" si="79"/>
        <v>#N/A</v>
      </c>
      <c r="AK795" s="19" t="e">
        <f t="shared" si="80"/>
        <v>#N/A</v>
      </c>
    </row>
    <row r="796" spans="33:37">
      <c r="AG796" s="41" t="str">
        <f t="shared" si="81"/>
        <v/>
      </c>
      <c r="AH796" t="str">
        <f t="shared" si="77"/>
        <v/>
      </c>
      <c r="AI796" t="e">
        <f t="shared" si="78"/>
        <v>#N/A</v>
      </c>
      <c r="AJ796" s="6" t="e">
        <f t="shared" si="79"/>
        <v>#N/A</v>
      </c>
      <c r="AK796" s="19" t="e">
        <f t="shared" si="80"/>
        <v>#N/A</v>
      </c>
    </row>
    <row r="797" spans="33:37">
      <c r="AG797" s="41" t="str">
        <f t="shared" si="81"/>
        <v/>
      </c>
      <c r="AH797" t="str">
        <f t="shared" si="77"/>
        <v/>
      </c>
      <c r="AI797" t="e">
        <f t="shared" si="78"/>
        <v>#N/A</v>
      </c>
      <c r="AJ797" s="6" t="e">
        <f t="shared" si="79"/>
        <v>#N/A</v>
      </c>
      <c r="AK797" s="19" t="e">
        <f t="shared" si="80"/>
        <v>#N/A</v>
      </c>
    </row>
    <row r="798" spans="33:37">
      <c r="AG798" s="41" t="str">
        <f t="shared" si="81"/>
        <v/>
      </c>
      <c r="AH798" t="str">
        <f t="shared" si="77"/>
        <v/>
      </c>
      <c r="AI798" t="e">
        <f t="shared" si="78"/>
        <v>#N/A</v>
      </c>
      <c r="AJ798" s="6" t="e">
        <f t="shared" si="79"/>
        <v>#N/A</v>
      </c>
      <c r="AK798" s="19" t="e">
        <f t="shared" si="80"/>
        <v>#N/A</v>
      </c>
    </row>
    <row r="799" spans="33:37">
      <c r="AG799" s="41" t="str">
        <f t="shared" si="81"/>
        <v/>
      </c>
      <c r="AH799" t="str">
        <f t="shared" si="77"/>
        <v/>
      </c>
      <c r="AI799" t="e">
        <f t="shared" si="78"/>
        <v>#N/A</v>
      </c>
      <c r="AJ799" s="6" t="e">
        <f t="shared" si="79"/>
        <v>#N/A</v>
      </c>
      <c r="AK799" s="19" t="e">
        <f t="shared" si="80"/>
        <v>#N/A</v>
      </c>
    </row>
    <row r="800" spans="33:37">
      <c r="AG800" s="41" t="str">
        <f t="shared" si="81"/>
        <v/>
      </c>
      <c r="AH800" t="str">
        <f t="shared" si="77"/>
        <v/>
      </c>
      <c r="AI800" t="e">
        <f t="shared" si="78"/>
        <v>#N/A</v>
      </c>
      <c r="AJ800" s="6" t="e">
        <f t="shared" si="79"/>
        <v>#N/A</v>
      </c>
      <c r="AK800" s="19" t="e">
        <f t="shared" si="80"/>
        <v>#N/A</v>
      </c>
    </row>
    <row r="801" spans="33:37">
      <c r="AG801" s="41" t="str">
        <f t="shared" si="81"/>
        <v/>
      </c>
      <c r="AH801" t="str">
        <f t="shared" si="77"/>
        <v/>
      </c>
      <c r="AI801" t="e">
        <f t="shared" si="78"/>
        <v>#N/A</v>
      </c>
      <c r="AJ801" s="6" t="e">
        <f t="shared" si="79"/>
        <v>#N/A</v>
      </c>
      <c r="AK801" s="19" t="e">
        <f t="shared" si="80"/>
        <v>#N/A</v>
      </c>
    </row>
    <row r="802" spans="33:37">
      <c r="AG802" s="41" t="str">
        <f t="shared" si="81"/>
        <v/>
      </c>
      <c r="AH802" t="str">
        <f t="shared" si="77"/>
        <v/>
      </c>
      <c r="AI802" t="e">
        <f t="shared" si="78"/>
        <v>#N/A</v>
      </c>
      <c r="AJ802" s="6" t="e">
        <f t="shared" si="79"/>
        <v>#N/A</v>
      </c>
      <c r="AK802" s="19" t="e">
        <f t="shared" si="80"/>
        <v>#N/A</v>
      </c>
    </row>
    <row r="803" spans="33:37">
      <c r="AG803" s="41" t="str">
        <f t="shared" si="81"/>
        <v/>
      </c>
      <c r="AH803" t="str">
        <f t="shared" si="77"/>
        <v/>
      </c>
      <c r="AI803" t="e">
        <f t="shared" si="78"/>
        <v>#N/A</v>
      </c>
      <c r="AJ803" s="6" t="e">
        <f t="shared" si="79"/>
        <v>#N/A</v>
      </c>
      <c r="AK803" s="19" t="e">
        <f t="shared" si="80"/>
        <v>#N/A</v>
      </c>
    </row>
    <row r="804" spans="33:37">
      <c r="AG804" s="41" t="str">
        <f t="shared" si="81"/>
        <v/>
      </c>
      <c r="AH804" t="str">
        <f t="shared" si="77"/>
        <v/>
      </c>
      <c r="AI804" t="e">
        <f t="shared" si="78"/>
        <v>#N/A</v>
      </c>
      <c r="AJ804" s="6" t="e">
        <f t="shared" si="79"/>
        <v>#N/A</v>
      </c>
      <c r="AK804" s="19" t="e">
        <f t="shared" si="80"/>
        <v>#N/A</v>
      </c>
    </row>
    <row r="805" spans="33:37">
      <c r="AG805" s="41" t="str">
        <f t="shared" si="81"/>
        <v/>
      </c>
      <c r="AH805" t="str">
        <f t="shared" si="77"/>
        <v/>
      </c>
      <c r="AI805" t="e">
        <f t="shared" si="78"/>
        <v>#N/A</v>
      </c>
      <c r="AJ805" s="6" t="e">
        <f t="shared" si="79"/>
        <v>#N/A</v>
      </c>
      <c r="AK805" s="19" t="e">
        <f t="shared" si="80"/>
        <v>#N/A</v>
      </c>
    </row>
    <row r="806" spans="33:37">
      <c r="AG806" s="41" t="str">
        <f t="shared" si="81"/>
        <v/>
      </c>
      <c r="AH806" t="str">
        <f t="shared" si="77"/>
        <v/>
      </c>
      <c r="AI806" t="e">
        <f t="shared" si="78"/>
        <v>#N/A</v>
      </c>
      <c r="AJ806" s="6" t="e">
        <f t="shared" si="79"/>
        <v>#N/A</v>
      </c>
      <c r="AK806" s="19" t="e">
        <f t="shared" si="80"/>
        <v>#N/A</v>
      </c>
    </row>
    <row r="807" spans="33:37">
      <c r="AG807" s="41" t="str">
        <f t="shared" si="81"/>
        <v/>
      </c>
      <c r="AH807" t="str">
        <f t="shared" si="77"/>
        <v/>
      </c>
      <c r="AI807" t="e">
        <f t="shared" si="78"/>
        <v>#N/A</v>
      </c>
      <c r="AJ807" s="6" t="e">
        <f t="shared" si="79"/>
        <v>#N/A</v>
      </c>
      <c r="AK807" s="19" t="e">
        <f t="shared" si="80"/>
        <v>#N/A</v>
      </c>
    </row>
    <row r="808" spans="33:37">
      <c r="AG808" s="41" t="str">
        <f t="shared" si="81"/>
        <v/>
      </c>
      <c r="AH808" t="str">
        <f t="shared" si="77"/>
        <v/>
      </c>
      <c r="AI808" t="e">
        <f t="shared" si="78"/>
        <v>#N/A</v>
      </c>
      <c r="AJ808" s="6" t="e">
        <f t="shared" si="79"/>
        <v>#N/A</v>
      </c>
      <c r="AK808" s="19" t="e">
        <f t="shared" si="80"/>
        <v>#N/A</v>
      </c>
    </row>
    <row r="809" spans="33:37">
      <c r="AG809" s="41" t="str">
        <f t="shared" si="81"/>
        <v/>
      </c>
      <c r="AH809" t="str">
        <f t="shared" si="77"/>
        <v/>
      </c>
      <c r="AI809" t="e">
        <f t="shared" si="78"/>
        <v>#N/A</v>
      </c>
      <c r="AJ809" s="6" t="e">
        <f t="shared" si="79"/>
        <v>#N/A</v>
      </c>
      <c r="AK809" s="19" t="e">
        <f t="shared" si="80"/>
        <v>#N/A</v>
      </c>
    </row>
    <row r="810" spans="33:37">
      <c r="AG810" s="41" t="str">
        <f t="shared" si="81"/>
        <v/>
      </c>
      <c r="AH810" t="str">
        <f t="shared" si="77"/>
        <v/>
      </c>
      <c r="AI810" t="e">
        <f t="shared" si="78"/>
        <v>#N/A</v>
      </c>
      <c r="AJ810" s="6" t="e">
        <f t="shared" si="79"/>
        <v>#N/A</v>
      </c>
      <c r="AK810" s="19" t="e">
        <f t="shared" si="80"/>
        <v>#N/A</v>
      </c>
    </row>
    <row r="811" spans="33:37">
      <c r="AG811" s="41" t="str">
        <f t="shared" si="81"/>
        <v/>
      </c>
      <c r="AH811" t="str">
        <f t="shared" si="77"/>
        <v/>
      </c>
      <c r="AI811" t="e">
        <f t="shared" si="78"/>
        <v>#N/A</v>
      </c>
      <c r="AJ811" s="6" t="e">
        <f t="shared" si="79"/>
        <v>#N/A</v>
      </c>
      <c r="AK811" s="19" t="e">
        <f t="shared" si="80"/>
        <v>#N/A</v>
      </c>
    </row>
    <row r="812" spans="33:37">
      <c r="AG812" s="41" t="str">
        <f t="shared" si="81"/>
        <v/>
      </c>
      <c r="AH812" t="str">
        <f t="shared" si="77"/>
        <v/>
      </c>
      <c r="AI812" t="e">
        <f t="shared" si="78"/>
        <v>#N/A</v>
      </c>
      <c r="AJ812" s="6" t="e">
        <f t="shared" si="79"/>
        <v>#N/A</v>
      </c>
      <c r="AK812" s="19" t="e">
        <f t="shared" si="80"/>
        <v>#N/A</v>
      </c>
    </row>
    <row r="813" spans="33:37">
      <c r="AG813" s="41" t="str">
        <f t="shared" si="81"/>
        <v/>
      </c>
      <c r="AH813" t="str">
        <f t="shared" si="77"/>
        <v/>
      </c>
      <c r="AI813" t="e">
        <f t="shared" si="78"/>
        <v>#N/A</v>
      </c>
      <c r="AJ813" s="6" t="e">
        <f t="shared" si="79"/>
        <v>#N/A</v>
      </c>
      <c r="AK813" s="19" t="e">
        <f t="shared" si="80"/>
        <v>#N/A</v>
      </c>
    </row>
    <row r="814" spans="33:37">
      <c r="AG814" s="41" t="str">
        <f t="shared" si="81"/>
        <v/>
      </c>
      <c r="AH814" t="str">
        <f t="shared" si="77"/>
        <v/>
      </c>
      <c r="AI814" t="e">
        <f t="shared" si="78"/>
        <v>#N/A</v>
      </c>
      <c r="AJ814" s="6" t="e">
        <f t="shared" si="79"/>
        <v>#N/A</v>
      </c>
      <c r="AK814" s="19" t="e">
        <f t="shared" si="80"/>
        <v>#N/A</v>
      </c>
    </row>
    <row r="815" spans="33:37">
      <c r="AG815" s="41" t="str">
        <f t="shared" si="81"/>
        <v/>
      </c>
      <c r="AH815" t="str">
        <f t="shared" si="77"/>
        <v/>
      </c>
      <c r="AI815" t="e">
        <f t="shared" si="78"/>
        <v>#N/A</v>
      </c>
      <c r="AJ815" s="6" t="e">
        <f t="shared" si="79"/>
        <v>#N/A</v>
      </c>
      <c r="AK815" s="19" t="e">
        <f t="shared" si="80"/>
        <v>#N/A</v>
      </c>
    </row>
    <row r="816" spans="33:37">
      <c r="AG816" s="41" t="str">
        <f t="shared" si="81"/>
        <v/>
      </c>
      <c r="AH816" t="str">
        <f t="shared" si="77"/>
        <v/>
      </c>
      <c r="AI816" t="e">
        <f t="shared" si="78"/>
        <v>#N/A</v>
      </c>
      <c r="AJ816" s="6" t="e">
        <f t="shared" si="79"/>
        <v>#N/A</v>
      </c>
      <c r="AK816" s="19" t="e">
        <f t="shared" si="80"/>
        <v>#N/A</v>
      </c>
    </row>
    <row r="817" spans="33:37">
      <c r="AG817" s="41" t="str">
        <f t="shared" si="81"/>
        <v/>
      </c>
      <c r="AH817" t="str">
        <f t="shared" si="77"/>
        <v/>
      </c>
      <c r="AI817" t="e">
        <f t="shared" si="78"/>
        <v>#N/A</v>
      </c>
      <c r="AJ817" s="6" t="e">
        <f t="shared" si="79"/>
        <v>#N/A</v>
      </c>
      <c r="AK817" s="19" t="e">
        <f t="shared" si="80"/>
        <v>#N/A</v>
      </c>
    </row>
    <row r="818" spans="33:37">
      <c r="AG818" s="41" t="str">
        <f t="shared" si="81"/>
        <v/>
      </c>
      <c r="AH818" t="str">
        <f t="shared" si="77"/>
        <v/>
      </c>
      <c r="AI818" t="e">
        <f t="shared" si="78"/>
        <v>#N/A</v>
      </c>
      <c r="AJ818" s="6" t="e">
        <f t="shared" si="79"/>
        <v>#N/A</v>
      </c>
      <c r="AK818" s="19" t="e">
        <f t="shared" si="80"/>
        <v>#N/A</v>
      </c>
    </row>
    <row r="819" spans="33:37">
      <c r="AG819" s="41" t="str">
        <f t="shared" si="81"/>
        <v/>
      </c>
      <c r="AH819" t="str">
        <f t="shared" si="77"/>
        <v/>
      </c>
      <c r="AI819" t="e">
        <f t="shared" si="78"/>
        <v>#N/A</v>
      </c>
      <c r="AJ819" s="6" t="e">
        <f t="shared" si="79"/>
        <v>#N/A</v>
      </c>
      <c r="AK819" s="19" t="e">
        <f t="shared" si="80"/>
        <v>#N/A</v>
      </c>
    </row>
    <row r="820" spans="33:37">
      <c r="AG820" s="41" t="str">
        <f t="shared" si="81"/>
        <v/>
      </c>
      <c r="AH820" t="str">
        <f t="shared" si="77"/>
        <v/>
      </c>
      <c r="AI820" t="e">
        <f t="shared" si="78"/>
        <v>#N/A</v>
      </c>
      <c r="AJ820" s="6" t="e">
        <f t="shared" si="79"/>
        <v>#N/A</v>
      </c>
      <c r="AK820" s="19" t="e">
        <f t="shared" si="80"/>
        <v>#N/A</v>
      </c>
    </row>
    <row r="821" spans="33:37">
      <c r="AG821" s="41" t="str">
        <f t="shared" si="81"/>
        <v/>
      </c>
      <c r="AH821" t="str">
        <f t="shared" si="77"/>
        <v/>
      </c>
      <c r="AI821" t="e">
        <f t="shared" si="78"/>
        <v>#N/A</v>
      </c>
      <c r="AJ821" s="6" t="e">
        <f t="shared" si="79"/>
        <v>#N/A</v>
      </c>
      <c r="AK821" s="19" t="e">
        <f t="shared" si="80"/>
        <v>#N/A</v>
      </c>
    </row>
    <row r="822" spans="33:37">
      <c r="AG822" s="41" t="str">
        <f t="shared" si="81"/>
        <v/>
      </c>
      <c r="AH822" t="str">
        <f t="shared" si="77"/>
        <v/>
      </c>
      <c r="AI822" t="e">
        <f t="shared" si="78"/>
        <v>#N/A</v>
      </c>
      <c r="AJ822" s="6" t="e">
        <f t="shared" si="79"/>
        <v>#N/A</v>
      </c>
      <c r="AK822" s="19" t="e">
        <f t="shared" si="80"/>
        <v>#N/A</v>
      </c>
    </row>
    <row r="823" spans="33:37">
      <c r="AG823" s="41" t="str">
        <f t="shared" si="81"/>
        <v/>
      </c>
      <c r="AH823" t="str">
        <f t="shared" si="77"/>
        <v/>
      </c>
      <c r="AI823" t="e">
        <f t="shared" si="78"/>
        <v>#N/A</v>
      </c>
      <c r="AJ823" s="6" t="e">
        <f t="shared" si="79"/>
        <v>#N/A</v>
      </c>
      <c r="AK823" s="19" t="e">
        <f t="shared" si="80"/>
        <v>#N/A</v>
      </c>
    </row>
    <row r="824" spans="33:37">
      <c r="AG824" s="41" t="str">
        <f t="shared" si="81"/>
        <v/>
      </c>
      <c r="AH824" t="str">
        <f t="shared" si="77"/>
        <v/>
      </c>
      <c r="AI824" t="e">
        <f t="shared" si="78"/>
        <v>#N/A</v>
      </c>
      <c r="AJ824" s="6" t="e">
        <f t="shared" si="79"/>
        <v>#N/A</v>
      </c>
      <c r="AK824" s="19" t="e">
        <f t="shared" si="80"/>
        <v>#N/A</v>
      </c>
    </row>
    <row r="825" spans="33:37">
      <c r="AG825" s="41" t="str">
        <f t="shared" si="81"/>
        <v/>
      </c>
      <c r="AH825" t="str">
        <f t="shared" ref="AH825:AH888" si="82">IF(AG825&lt;&gt;"",MID($AE$4,AG825,1),"")</f>
        <v/>
      </c>
      <c r="AI825" t="e">
        <f t="shared" ref="AI825:AI888" si="83">IFERROR(VLOOKUP(AH825,$AA$4:$AB$13,2,0),VLOOKUP(AH825,$AC$4:$AD$13,2,0))</f>
        <v>#N/A</v>
      </c>
      <c r="AJ825" s="6" t="e">
        <f t="shared" ref="AJ825:AJ888" si="84">IF(AND(AI824="Rg",AI826="Rg"),"2Rg",IF(AND(AI824="Rg",AI826="Fx"),"RgFx",IF(AND(AI824="Fx",AI826="Rg"),"RgFx",IF(AND(AI824="Fx",AI826="Fx"),"2Fx",""))))</f>
        <v>#N/A</v>
      </c>
      <c r="AK825" s="19" t="e">
        <f t="shared" ref="AK825:AK888" si="85">IF(AJ825&lt;&gt;"",VLOOKUP(AJ825,mv,HLOOKUP(AH825,mh,2,0),0),"")</f>
        <v>#N/A</v>
      </c>
    </row>
    <row r="826" spans="33:37">
      <c r="AG826" s="41" t="str">
        <f t="shared" si="81"/>
        <v/>
      </c>
      <c r="AH826" t="str">
        <f t="shared" si="82"/>
        <v/>
      </c>
      <c r="AI826" t="e">
        <f t="shared" si="83"/>
        <v>#N/A</v>
      </c>
      <c r="AJ826" s="6" t="e">
        <f t="shared" si="84"/>
        <v>#N/A</v>
      </c>
      <c r="AK826" s="19" t="e">
        <f t="shared" si="85"/>
        <v>#N/A</v>
      </c>
    </row>
    <row r="827" spans="33:37">
      <c r="AG827" s="41" t="str">
        <f t="shared" si="81"/>
        <v/>
      </c>
      <c r="AH827" t="str">
        <f t="shared" si="82"/>
        <v/>
      </c>
      <c r="AI827" t="e">
        <f t="shared" si="83"/>
        <v>#N/A</v>
      </c>
      <c r="AJ827" s="6" t="e">
        <f t="shared" si="84"/>
        <v>#N/A</v>
      </c>
      <c r="AK827" s="19" t="e">
        <f t="shared" si="85"/>
        <v>#N/A</v>
      </c>
    </row>
    <row r="828" spans="33:37">
      <c r="AG828" s="41" t="str">
        <f t="shared" si="81"/>
        <v/>
      </c>
      <c r="AH828" t="str">
        <f t="shared" si="82"/>
        <v/>
      </c>
      <c r="AI828" t="e">
        <f t="shared" si="83"/>
        <v>#N/A</v>
      </c>
      <c r="AJ828" s="6" t="e">
        <f t="shared" si="84"/>
        <v>#N/A</v>
      </c>
      <c r="AK828" s="19" t="e">
        <f t="shared" si="85"/>
        <v>#N/A</v>
      </c>
    </row>
    <row r="829" spans="33:37">
      <c r="AG829" s="41" t="str">
        <f t="shared" si="81"/>
        <v/>
      </c>
      <c r="AH829" t="str">
        <f t="shared" si="82"/>
        <v/>
      </c>
      <c r="AI829" t="e">
        <f t="shared" si="83"/>
        <v>#N/A</v>
      </c>
      <c r="AJ829" s="6" t="e">
        <f t="shared" si="84"/>
        <v>#N/A</v>
      </c>
      <c r="AK829" s="19" t="e">
        <f t="shared" si="85"/>
        <v>#N/A</v>
      </c>
    </row>
    <row r="830" spans="33:37">
      <c r="AG830" s="41" t="str">
        <f t="shared" si="81"/>
        <v/>
      </c>
      <c r="AH830" t="str">
        <f t="shared" si="82"/>
        <v/>
      </c>
      <c r="AI830" t="e">
        <f t="shared" si="83"/>
        <v>#N/A</v>
      </c>
      <c r="AJ830" s="6" t="e">
        <f t="shared" si="84"/>
        <v>#N/A</v>
      </c>
      <c r="AK830" s="19" t="e">
        <f t="shared" si="85"/>
        <v>#N/A</v>
      </c>
    </row>
    <row r="831" spans="33:37">
      <c r="AG831" s="41" t="str">
        <f t="shared" si="81"/>
        <v/>
      </c>
      <c r="AH831" t="str">
        <f t="shared" si="82"/>
        <v/>
      </c>
      <c r="AI831" t="e">
        <f t="shared" si="83"/>
        <v>#N/A</v>
      </c>
      <c r="AJ831" s="6" t="e">
        <f t="shared" si="84"/>
        <v>#N/A</v>
      </c>
      <c r="AK831" s="19" t="e">
        <f t="shared" si="85"/>
        <v>#N/A</v>
      </c>
    </row>
    <row r="832" spans="33:37">
      <c r="AG832" s="41" t="str">
        <f t="shared" si="81"/>
        <v/>
      </c>
      <c r="AH832" t="str">
        <f t="shared" si="82"/>
        <v/>
      </c>
      <c r="AI832" t="e">
        <f t="shared" si="83"/>
        <v>#N/A</v>
      </c>
      <c r="AJ832" s="6" t="e">
        <f t="shared" si="84"/>
        <v>#N/A</v>
      </c>
      <c r="AK832" s="19" t="e">
        <f t="shared" si="85"/>
        <v>#N/A</v>
      </c>
    </row>
    <row r="833" spans="33:37">
      <c r="AG833" s="41" t="str">
        <f t="shared" si="81"/>
        <v/>
      </c>
      <c r="AH833" t="str">
        <f t="shared" si="82"/>
        <v/>
      </c>
      <c r="AI833" t="e">
        <f t="shared" si="83"/>
        <v>#N/A</v>
      </c>
      <c r="AJ833" s="6" t="e">
        <f t="shared" si="84"/>
        <v>#N/A</v>
      </c>
      <c r="AK833" s="19" t="e">
        <f t="shared" si="85"/>
        <v>#N/A</v>
      </c>
    </row>
    <row r="834" spans="33:37">
      <c r="AG834" s="41" t="str">
        <f t="shared" si="81"/>
        <v/>
      </c>
      <c r="AH834" t="str">
        <f t="shared" si="82"/>
        <v/>
      </c>
      <c r="AI834" t="e">
        <f t="shared" si="83"/>
        <v>#N/A</v>
      </c>
      <c r="AJ834" s="6" t="e">
        <f t="shared" si="84"/>
        <v>#N/A</v>
      </c>
      <c r="AK834" s="19" t="e">
        <f t="shared" si="85"/>
        <v>#N/A</v>
      </c>
    </row>
    <row r="835" spans="33:37">
      <c r="AG835" s="41" t="str">
        <f t="shared" si="81"/>
        <v/>
      </c>
      <c r="AH835" t="str">
        <f t="shared" si="82"/>
        <v/>
      </c>
      <c r="AI835" t="e">
        <f t="shared" si="83"/>
        <v>#N/A</v>
      </c>
      <c r="AJ835" s="6" t="e">
        <f t="shared" si="84"/>
        <v>#N/A</v>
      </c>
      <c r="AK835" s="19" t="e">
        <f t="shared" si="85"/>
        <v>#N/A</v>
      </c>
    </row>
    <row r="836" spans="33:37">
      <c r="AG836" s="41" t="str">
        <f t="shared" si="81"/>
        <v/>
      </c>
      <c r="AH836" t="str">
        <f t="shared" si="82"/>
        <v/>
      </c>
      <c r="AI836" t="e">
        <f t="shared" si="83"/>
        <v>#N/A</v>
      </c>
      <c r="AJ836" s="6" t="e">
        <f t="shared" si="84"/>
        <v>#N/A</v>
      </c>
      <c r="AK836" s="19" t="e">
        <f t="shared" si="85"/>
        <v>#N/A</v>
      </c>
    </row>
    <row r="837" spans="33:37">
      <c r="AG837" s="41" t="str">
        <f t="shared" ref="AG837:AG900" si="86">IF(AG836&lt;$AF$4,AG836+1,"")</f>
        <v/>
      </c>
      <c r="AH837" t="str">
        <f t="shared" si="82"/>
        <v/>
      </c>
      <c r="AI837" t="e">
        <f t="shared" si="83"/>
        <v>#N/A</v>
      </c>
      <c r="AJ837" s="6" t="e">
        <f t="shared" si="84"/>
        <v>#N/A</v>
      </c>
      <c r="AK837" s="19" t="e">
        <f t="shared" si="85"/>
        <v>#N/A</v>
      </c>
    </row>
    <row r="838" spans="33:37">
      <c r="AG838" s="41" t="str">
        <f t="shared" si="86"/>
        <v/>
      </c>
      <c r="AH838" t="str">
        <f t="shared" si="82"/>
        <v/>
      </c>
      <c r="AI838" t="e">
        <f t="shared" si="83"/>
        <v>#N/A</v>
      </c>
      <c r="AJ838" s="6" t="e">
        <f t="shared" si="84"/>
        <v>#N/A</v>
      </c>
      <c r="AK838" s="19" t="e">
        <f t="shared" si="85"/>
        <v>#N/A</v>
      </c>
    </row>
    <row r="839" spans="33:37">
      <c r="AG839" s="41" t="str">
        <f t="shared" si="86"/>
        <v/>
      </c>
      <c r="AH839" t="str">
        <f t="shared" si="82"/>
        <v/>
      </c>
      <c r="AI839" t="e">
        <f t="shared" si="83"/>
        <v>#N/A</v>
      </c>
      <c r="AJ839" s="6" t="e">
        <f t="shared" si="84"/>
        <v>#N/A</v>
      </c>
      <c r="AK839" s="19" t="e">
        <f t="shared" si="85"/>
        <v>#N/A</v>
      </c>
    </row>
    <row r="840" spans="33:37">
      <c r="AG840" s="41" t="str">
        <f t="shared" si="86"/>
        <v/>
      </c>
      <c r="AH840" t="str">
        <f t="shared" si="82"/>
        <v/>
      </c>
      <c r="AI840" t="e">
        <f t="shared" si="83"/>
        <v>#N/A</v>
      </c>
      <c r="AJ840" s="6" t="e">
        <f t="shared" si="84"/>
        <v>#N/A</v>
      </c>
      <c r="AK840" s="19" t="e">
        <f t="shared" si="85"/>
        <v>#N/A</v>
      </c>
    </row>
    <row r="841" spans="33:37">
      <c r="AG841" s="41" t="str">
        <f t="shared" si="86"/>
        <v/>
      </c>
      <c r="AH841" t="str">
        <f t="shared" si="82"/>
        <v/>
      </c>
      <c r="AI841" t="e">
        <f t="shared" si="83"/>
        <v>#N/A</v>
      </c>
      <c r="AJ841" s="6" t="e">
        <f t="shared" si="84"/>
        <v>#N/A</v>
      </c>
      <c r="AK841" s="19" t="e">
        <f t="shared" si="85"/>
        <v>#N/A</v>
      </c>
    </row>
    <row r="842" spans="33:37">
      <c r="AG842" s="41" t="str">
        <f t="shared" si="86"/>
        <v/>
      </c>
      <c r="AH842" t="str">
        <f t="shared" si="82"/>
        <v/>
      </c>
      <c r="AI842" t="e">
        <f t="shared" si="83"/>
        <v>#N/A</v>
      </c>
      <c r="AJ842" s="6" t="e">
        <f t="shared" si="84"/>
        <v>#N/A</v>
      </c>
      <c r="AK842" s="19" t="e">
        <f t="shared" si="85"/>
        <v>#N/A</v>
      </c>
    </row>
    <row r="843" spans="33:37">
      <c r="AG843" s="41" t="str">
        <f t="shared" si="86"/>
        <v/>
      </c>
      <c r="AH843" t="str">
        <f t="shared" si="82"/>
        <v/>
      </c>
      <c r="AI843" t="e">
        <f t="shared" si="83"/>
        <v>#N/A</v>
      </c>
      <c r="AJ843" s="6" t="e">
        <f t="shared" si="84"/>
        <v>#N/A</v>
      </c>
      <c r="AK843" s="19" t="e">
        <f t="shared" si="85"/>
        <v>#N/A</v>
      </c>
    </row>
    <row r="844" spans="33:37">
      <c r="AG844" s="41" t="str">
        <f t="shared" si="86"/>
        <v/>
      </c>
      <c r="AH844" t="str">
        <f t="shared" si="82"/>
        <v/>
      </c>
      <c r="AI844" t="e">
        <f t="shared" si="83"/>
        <v>#N/A</v>
      </c>
      <c r="AJ844" s="6" t="e">
        <f t="shared" si="84"/>
        <v>#N/A</v>
      </c>
      <c r="AK844" s="19" t="e">
        <f t="shared" si="85"/>
        <v>#N/A</v>
      </c>
    </row>
    <row r="845" spans="33:37">
      <c r="AG845" s="41" t="str">
        <f t="shared" si="86"/>
        <v/>
      </c>
      <c r="AH845" t="str">
        <f t="shared" si="82"/>
        <v/>
      </c>
      <c r="AI845" t="e">
        <f t="shared" si="83"/>
        <v>#N/A</v>
      </c>
      <c r="AJ845" s="6" t="e">
        <f t="shared" si="84"/>
        <v>#N/A</v>
      </c>
      <c r="AK845" s="19" t="e">
        <f t="shared" si="85"/>
        <v>#N/A</v>
      </c>
    </row>
    <row r="846" spans="33:37">
      <c r="AG846" s="41" t="str">
        <f t="shared" si="86"/>
        <v/>
      </c>
      <c r="AH846" t="str">
        <f t="shared" si="82"/>
        <v/>
      </c>
      <c r="AI846" t="e">
        <f t="shared" si="83"/>
        <v>#N/A</v>
      </c>
      <c r="AJ846" s="6" t="e">
        <f t="shared" si="84"/>
        <v>#N/A</v>
      </c>
      <c r="AK846" s="19" t="e">
        <f t="shared" si="85"/>
        <v>#N/A</v>
      </c>
    </row>
    <row r="847" spans="33:37">
      <c r="AG847" s="41" t="str">
        <f t="shared" si="86"/>
        <v/>
      </c>
      <c r="AH847" t="str">
        <f t="shared" si="82"/>
        <v/>
      </c>
      <c r="AI847" t="e">
        <f t="shared" si="83"/>
        <v>#N/A</v>
      </c>
      <c r="AJ847" s="6" t="e">
        <f t="shared" si="84"/>
        <v>#N/A</v>
      </c>
      <c r="AK847" s="19" t="e">
        <f t="shared" si="85"/>
        <v>#N/A</v>
      </c>
    </row>
    <row r="848" spans="33:37">
      <c r="AG848" s="41" t="str">
        <f t="shared" si="86"/>
        <v/>
      </c>
      <c r="AH848" t="str">
        <f t="shared" si="82"/>
        <v/>
      </c>
      <c r="AI848" t="e">
        <f t="shared" si="83"/>
        <v>#N/A</v>
      </c>
      <c r="AJ848" s="6" t="e">
        <f t="shared" si="84"/>
        <v>#N/A</v>
      </c>
      <c r="AK848" s="19" t="e">
        <f t="shared" si="85"/>
        <v>#N/A</v>
      </c>
    </row>
    <row r="849" spans="33:37">
      <c r="AG849" s="41" t="str">
        <f t="shared" si="86"/>
        <v/>
      </c>
      <c r="AH849" t="str">
        <f t="shared" si="82"/>
        <v/>
      </c>
      <c r="AI849" t="e">
        <f t="shared" si="83"/>
        <v>#N/A</v>
      </c>
      <c r="AJ849" s="6" t="e">
        <f t="shared" si="84"/>
        <v>#N/A</v>
      </c>
      <c r="AK849" s="19" t="e">
        <f t="shared" si="85"/>
        <v>#N/A</v>
      </c>
    </row>
    <row r="850" spans="33:37">
      <c r="AG850" s="41" t="str">
        <f t="shared" si="86"/>
        <v/>
      </c>
      <c r="AH850" t="str">
        <f t="shared" si="82"/>
        <v/>
      </c>
      <c r="AI850" t="e">
        <f t="shared" si="83"/>
        <v>#N/A</v>
      </c>
      <c r="AJ850" s="6" t="e">
        <f t="shared" si="84"/>
        <v>#N/A</v>
      </c>
      <c r="AK850" s="19" t="e">
        <f t="shared" si="85"/>
        <v>#N/A</v>
      </c>
    </row>
    <row r="851" spans="33:37">
      <c r="AG851" s="41" t="str">
        <f t="shared" si="86"/>
        <v/>
      </c>
      <c r="AH851" t="str">
        <f t="shared" si="82"/>
        <v/>
      </c>
      <c r="AI851" t="e">
        <f t="shared" si="83"/>
        <v>#N/A</v>
      </c>
      <c r="AJ851" s="6" t="e">
        <f t="shared" si="84"/>
        <v>#N/A</v>
      </c>
      <c r="AK851" s="19" t="e">
        <f t="shared" si="85"/>
        <v>#N/A</v>
      </c>
    </row>
    <row r="852" spans="33:37">
      <c r="AG852" s="41" t="str">
        <f t="shared" si="86"/>
        <v/>
      </c>
      <c r="AH852" t="str">
        <f t="shared" si="82"/>
        <v/>
      </c>
      <c r="AI852" t="e">
        <f t="shared" si="83"/>
        <v>#N/A</v>
      </c>
      <c r="AJ852" s="6" t="e">
        <f t="shared" si="84"/>
        <v>#N/A</v>
      </c>
      <c r="AK852" s="19" t="e">
        <f t="shared" si="85"/>
        <v>#N/A</v>
      </c>
    </row>
    <row r="853" spans="33:37">
      <c r="AG853" s="41" t="str">
        <f t="shared" si="86"/>
        <v/>
      </c>
      <c r="AH853" t="str">
        <f t="shared" si="82"/>
        <v/>
      </c>
      <c r="AI853" t="e">
        <f t="shared" si="83"/>
        <v>#N/A</v>
      </c>
      <c r="AJ853" s="6" t="e">
        <f t="shared" si="84"/>
        <v>#N/A</v>
      </c>
      <c r="AK853" s="19" t="e">
        <f t="shared" si="85"/>
        <v>#N/A</v>
      </c>
    </row>
    <row r="854" spans="33:37">
      <c r="AG854" s="41" t="str">
        <f t="shared" si="86"/>
        <v/>
      </c>
      <c r="AH854" t="str">
        <f t="shared" si="82"/>
        <v/>
      </c>
      <c r="AI854" t="e">
        <f t="shared" si="83"/>
        <v>#N/A</v>
      </c>
      <c r="AJ854" s="6" t="e">
        <f t="shared" si="84"/>
        <v>#N/A</v>
      </c>
      <c r="AK854" s="19" t="e">
        <f t="shared" si="85"/>
        <v>#N/A</v>
      </c>
    </row>
    <row r="855" spans="33:37">
      <c r="AG855" s="41" t="str">
        <f t="shared" si="86"/>
        <v/>
      </c>
      <c r="AH855" t="str">
        <f t="shared" si="82"/>
        <v/>
      </c>
      <c r="AI855" t="e">
        <f t="shared" si="83"/>
        <v>#N/A</v>
      </c>
      <c r="AJ855" s="6" t="e">
        <f t="shared" si="84"/>
        <v>#N/A</v>
      </c>
      <c r="AK855" s="19" t="e">
        <f t="shared" si="85"/>
        <v>#N/A</v>
      </c>
    </row>
    <row r="856" spans="33:37">
      <c r="AG856" s="41" t="str">
        <f t="shared" si="86"/>
        <v/>
      </c>
      <c r="AH856" t="str">
        <f t="shared" si="82"/>
        <v/>
      </c>
      <c r="AI856" t="e">
        <f t="shared" si="83"/>
        <v>#N/A</v>
      </c>
      <c r="AJ856" s="6" t="e">
        <f t="shared" si="84"/>
        <v>#N/A</v>
      </c>
      <c r="AK856" s="19" t="e">
        <f t="shared" si="85"/>
        <v>#N/A</v>
      </c>
    </row>
    <row r="857" spans="33:37">
      <c r="AG857" s="41" t="str">
        <f t="shared" si="86"/>
        <v/>
      </c>
      <c r="AH857" t="str">
        <f t="shared" si="82"/>
        <v/>
      </c>
      <c r="AI857" t="e">
        <f t="shared" si="83"/>
        <v>#N/A</v>
      </c>
      <c r="AJ857" s="6" t="e">
        <f t="shared" si="84"/>
        <v>#N/A</v>
      </c>
      <c r="AK857" s="19" t="e">
        <f t="shared" si="85"/>
        <v>#N/A</v>
      </c>
    </row>
    <row r="858" spans="33:37">
      <c r="AG858" s="41" t="str">
        <f t="shared" si="86"/>
        <v/>
      </c>
      <c r="AH858" t="str">
        <f t="shared" si="82"/>
        <v/>
      </c>
      <c r="AI858" t="e">
        <f t="shared" si="83"/>
        <v>#N/A</v>
      </c>
      <c r="AJ858" s="6" t="e">
        <f t="shared" si="84"/>
        <v>#N/A</v>
      </c>
      <c r="AK858" s="19" t="e">
        <f t="shared" si="85"/>
        <v>#N/A</v>
      </c>
    </row>
    <row r="859" spans="33:37">
      <c r="AG859" s="41" t="str">
        <f t="shared" si="86"/>
        <v/>
      </c>
      <c r="AH859" t="str">
        <f t="shared" si="82"/>
        <v/>
      </c>
      <c r="AI859" t="e">
        <f t="shared" si="83"/>
        <v>#N/A</v>
      </c>
      <c r="AJ859" s="6" t="e">
        <f t="shared" si="84"/>
        <v>#N/A</v>
      </c>
      <c r="AK859" s="19" t="e">
        <f t="shared" si="85"/>
        <v>#N/A</v>
      </c>
    </row>
    <row r="860" spans="33:37">
      <c r="AG860" s="41" t="str">
        <f t="shared" si="86"/>
        <v/>
      </c>
      <c r="AH860" t="str">
        <f t="shared" si="82"/>
        <v/>
      </c>
      <c r="AI860" t="e">
        <f t="shared" si="83"/>
        <v>#N/A</v>
      </c>
      <c r="AJ860" s="6" t="e">
        <f t="shared" si="84"/>
        <v>#N/A</v>
      </c>
      <c r="AK860" s="19" t="e">
        <f t="shared" si="85"/>
        <v>#N/A</v>
      </c>
    </row>
    <row r="861" spans="33:37">
      <c r="AG861" s="41" t="str">
        <f t="shared" si="86"/>
        <v/>
      </c>
      <c r="AH861" t="str">
        <f t="shared" si="82"/>
        <v/>
      </c>
      <c r="AI861" t="e">
        <f t="shared" si="83"/>
        <v>#N/A</v>
      </c>
      <c r="AJ861" s="6" t="e">
        <f t="shared" si="84"/>
        <v>#N/A</v>
      </c>
      <c r="AK861" s="19" t="e">
        <f t="shared" si="85"/>
        <v>#N/A</v>
      </c>
    </row>
    <row r="862" spans="33:37">
      <c r="AG862" s="41" t="str">
        <f t="shared" si="86"/>
        <v/>
      </c>
      <c r="AH862" t="str">
        <f t="shared" si="82"/>
        <v/>
      </c>
      <c r="AI862" t="e">
        <f t="shared" si="83"/>
        <v>#N/A</v>
      </c>
      <c r="AJ862" s="6" t="e">
        <f t="shared" si="84"/>
        <v>#N/A</v>
      </c>
      <c r="AK862" s="19" t="e">
        <f t="shared" si="85"/>
        <v>#N/A</v>
      </c>
    </row>
    <row r="863" spans="33:37">
      <c r="AG863" s="41" t="str">
        <f t="shared" si="86"/>
        <v/>
      </c>
      <c r="AH863" t="str">
        <f t="shared" si="82"/>
        <v/>
      </c>
      <c r="AI863" t="e">
        <f t="shared" si="83"/>
        <v>#N/A</v>
      </c>
      <c r="AJ863" s="6" t="e">
        <f t="shared" si="84"/>
        <v>#N/A</v>
      </c>
      <c r="AK863" s="19" t="e">
        <f t="shared" si="85"/>
        <v>#N/A</v>
      </c>
    </row>
    <row r="864" spans="33:37">
      <c r="AG864" s="41" t="str">
        <f t="shared" si="86"/>
        <v/>
      </c>
      <c r="AH864" t="str">
        <f t="shared" si="82"/>
        <v/>
      </c>
      <c r="AI864" t="e">
        <f t="shared" si="83"/>
        <v>#N/A</v>
      </c>
      <c r="AJ864" s="6" t="e">
        <f t="shared" si="84"/>
        <v>#N/A</v>
      </c>
      <c r="AK864" s="19" t="e">
        <f t="shared" si="85"/>
        <v>#N/A</v>
      </c>
    </row>
    <row r="865" spans="33:37">
      <c r="AG865" s="41" t="str">
        <f t="shared" si="86"/>
        <v/>
      </c>
      <c r="AH865" t="str">
        <f t="shared" si="82"/>
        <v/>
      </c>
      <c r="AI865" t="e">
        <f t="shared" si="83"/>
        <v>#N/A</v>
      </c>
      <c r="AJ865" s="6" t="e">
        <f t="shared" si="84"/>
        <v>#N/A</v>
      </c>
      <c r="AK865" s="19" t="e">
        <f t="shared" si="85"/>
        <v>#N/A</v>
      </c>
    </row>
    <row r="866" spans="33:37">
      <c r="AG866" s="41" t="str">
        <f t="shared" si="86"/>
        <v/>
      </c>
      <c r="AH866" t="str">
        <f t="shared" si="82"/>
        <v/>
      </c>
      <c r="AI866" t="e">
        <f t="shared" si="83"/>
        <v>#N/A</v>
      </c>
      <c r="AJ866" s="6" t="e">
        <f t="shared" si="84"/>
        <v>#N/A</v>
      </c>
      <c r="AK866" s="19" t="e">
        <f t="shared" si="85"/>
        <v>#N/A</v>
      </c>
    </row>
    <row r="867" spans="33:37">
      <c r="AG867" s="41" t="str">
        <f t="shared" si="86"/>
        <v/>
      </c>
      <c r="AH867" t="str">
        <f t="shared" si="82"/>
        <v/>
      </c>
      <c r="AI867" t="e">
        <f t="shared" si="83"/>
        <v>#N/A</v>
      </c>
      <c r="AJ867" s="6" t="e">
        <f t="shared" si="84"/>
        <v>#N/A</v>
      </c>
      <c r="AK867" s="19" t="e">
        <f t="shared" si="85"/>
        <v>#N/A</v>
      </c>
    </row>
    <row r="868" spans="33:37">
      <c r="AG868" s="41" t="str">
        <f t="shared" si="86"/>
        <v/>
      </c>
      <c r="AH868" t="str">
        <f t="shared" si="82"/>
        <v/>
      </c>
      <c r="AI868" t="e">
        <f t="shared" si="83"/>
        <v>#N/A</v>
      </c>
      <c r="AJ868" s="6" t="e">
        <f t="shared" si="84"/>
        <v>#N/A</v>
      </c>
      <c r="AK868" s="19" t="e">
        <f t="shared" si="85"/>
        <v>#N/A</v>
      </c>
    </row>
    <row r="869" spans="33:37">
      <c r="AG869" s="41" t="str">
        <f t="shared" si="86"/>
        <v/>
      </c>
      <c r="AH869" t="str">
        <f t="shared" si="82"/>
        <v/>
      </c>
      <c r="AI869" t="e">
        <f t="shared" si="83"/>
        <v>#N/A</v>
      </c>
      <c r="AJ869" s="6" t="e">
        <f t="shared" si="84"/>
        <v>#N/A</v>
      </c>
      <c r="AK869" s="19" t="e">
        <f t="shared" si="85"/>
        <v>#N/A</v>
      </c>
    </row>
    <row r="870" spans="33:37">
      <c r="AG870" s="41" t="str">
        <f t="shared" si="86"/>
        <v/>
      </c>
      <c r="AH870" t="str">
        <f t="shared" si="82"/>
        <v/>
      </c>
      <c r="AI870" t="e">
        <f t="shared" si="83"/>
        <v>#N/A</v>
      </c>
      <c r="AJ870" s="6" t="e">
        <f t="shared" si="84"/>
        <v>#N/A</v>
      </c>
      <c r="AK870" s="19" t="e">
        <f t="shared" si="85"/>
        <v>#N/A</v>
      </c>
    </row>
    <row r="871" spans="33:37">
      <c r="AG871" s="41" t="str">
        <f t="shared" si="86"/>
        <v/>
      </c>
      <c r="AH871" t="str">
        <f t="shared" si="82"/>
        <v/>
      </c>
      <c r="AI871" t="e">
        <f t="shared" si="83"/>
        <v>#N/A</v>
      </c>
      <c r="AJ871" s="6" t="e">
        <f t="shared" si="84"/>
        <v>#N/A</v>
      </c>
      <c r="AK871" s="19" t="e">
        <f t="shared" si="85"/>
        <v>#N/A</v>
      </c>
    </row>
    <row r="872" spans="33:37">
      <c r="AG872" s="41" t="str">
        <f t="shared" si="86"/>
        <v/>
      </c>
      <c r="AH872" t="str">
        <f t="shared" si="82"/>
        <v/>
      </c>
      <c r="AI872" t="e">
        <f t="shared" si="83"/>
        <v>#N/A</v>
      </c>
      <c r="AJ872" s="6" t="e">
        <f t="shared" si="84"/>
        <v>#N/A</v>
      </c>
      <c r="AK872" s="19" t="e">
        <f t="shared" si="85"/>
        <v>#N/A</v>
      </c>
    </row>
    <row r="873" spans="33:37">
      <c r="AG873" s="41" t="str">
        <f t="shared" si="86"/>
        <v/>
      </c>
      <c r="AH873" t="str">
        <f t="shared" si="82"/>
        <v/>
      </c>
      <c r="AI873" t="e">
        <f t="shared" si="83"/>
        <v>#N/A</v>
      </c>
      <c r="AJ873" s="6" t="e">
        <f t="shared" si="84"/>
        <v>#N/A</v>
      </c>
      <c r="AK873" s="19" t="e">
        <f t="shared" si="85"/>
        <v>#N/A</v>
      </c>
    </row>
    <row r="874" spans="33:37">
      <c r="AG874" s="41" t="str">
        <f t="shared" si="86"/>
        <v/>
      </c>
      <c r="AH874" t="str">
        <f t="shared" si="82"/>
        <v/>
      </c>
      <c r="AI874" t="e">
        <f t="shared" si="83"/>
        <v>#N/A</v>
      </c>
      <c r="AJ874" s="6" t="e">
        <f t="shared" si="84"/>
        <v>#N/A</v>
      </c>
      <c r="AK874" s="19" t="e">
        <f t="shared" si="85"/>
        <v>#N/A</v>
      </c>
    </row>
    <row r="875" spans="33:37">
      <c r="AG875" s="41" t="str">
        <f t="shared" si="86"/>
        <v/>
      </c>
      <c r="AH875" t="str">
        <f t="shared" si="82"/>
        <v/>
      </c>
      <c r="AI875" t="e">
        <f t="shared" si="83"/>
        <v>#N/A</v>
      </c>
      <c r="AJ875" s="6" t="e">
        <f t="shared" si="84"/>
        <v>#N/A</v>
      </c>
      <c r="AK875" s="19" t="e">
        <f t="shared" si="85"/>
        <v>#N/A</v>
      </c>
    </row>
    <row r="876" spans="33:37">
      <c r="AG876" s="41" t="str">
        <f t="shared" si="86"/>
        <v/>
      </c>
      <c r="AH876" t="str">
        <f t="shared" si="82"/>
        <v/>
      </c>
      <c r="AI876" t="e">
        <f t="shared" si="83"/>
        <v>#N/A</v>
      </c>
      <c r="AJ876" s="6" t="e">
        <f t="shared" si="84"/>
        <v>#N/A</v>
      </c>
      <c r="AK876" s="19" t="e">
        <f t="shared" si="85"/>
        <v>#N/A</v>
      </c>
    </row>
    <row r="877" spans="33:37">
      <c r="AG877" s="41" t="str">
        <f t="shared" si="86"/>
        <v/>
      </c>
      <c r="AH877" t="str">
        <f t="shared" si="82"/>
        <v/>
      </c>
      <c r="AI877" t="e">
        <f t="shared" si="83"/>
        <v>#N/A</v>
      </c>
      <c r="AJ877" s="6" t="e">
        <f t="shared" si="84"/>
        <v>#N/A</v>
      </c>
      <c r="AK877" s="19" t="e">
        <f t="shared" si="85"/>
        <v>#N/A</v>
      </c>
    </row>
    <row r="878" spans="33:37">
      <c r="AG878" s="41" t="str">
        <f t="shared" si="86"/>
        <v/>
      </c>
      <c r="AH878" t="str">
        <f t="shared" si="82"/>
        <v/>
      </c>
      <c r="AI878" t="e">
        <f t="shared" si="83"/>
        <v>#N/A</v>
      </c>
      <c r="AJ878" s="6" t="e">
        <f t="shared" si="84"/>
        <v>#N/A</v>
      </c>
      <c r="AK878" s="19" t="e">
        <f t="shared" si="85"/>
        <v>#N/A</v>
      </c>
    </row>
    <row r="879" spans="33:37">
      <c r="AG879" s="41" t="str">
        <f t="shared" si="86"/>
        <v/>
      </c>
      <c r="AH879" t="str">
        <f t="shared" si="82"/>
        <v/>
      </c>
      <c r="AI879" t="e">
        <f t="shared" si="83"/>
        <v>#N/A</v>
      </c>
      <c r="AJ879" s="6" t="e">
        <f t="shared" si="84"/>
        <v>#N/A</v>
      </c>
      <c r="AK879" s="19" t="e">
        <f t="shared" si="85"/>
        <v>#N/A</v>
      </c>
    </row>
    <row r="880" spans="33:37">
      <c r="AG880" s="41" t="str">
        <f t="shared" si="86"/>
        <v/>
      </c>
      <c r="AH880" t="str">
        <f t="shared" si="82"/>
        <v/>
      </c>
      <c r="AI880" t="e">
        <f t="shared" si="83"/>
        <v>#N/A</v>
      </c>
      <c r="AJ880" s="6" t="e">
        <f t="shared" si="84"/>
        <v>#N/A</v>
      </c>
      <c r="AK880" s="19" t="e">
        <f t="shared" si="85"/>
        <v>#N/A</v>
      </c>
    </row>
    <row r="881" spans="33:37">
      <c r="AG881" s="41" t="str">
        <f t="shared" si="86"/>
        <v/>
      </c>
      <c r="AH881" t="str">
        <f t="shared" si="82"/>
        <v/>
      </c>
      <c r="AI881" t="e">
        <f t="shared" si="83"/>
        <v>#N/A</v>
      </c>
      <c r="AJ881" s="6" t="e">
        <f t="shared" si="84"/>
        <v>#N/A</v>
      </c>
      <c r="AK881" s="19" t="e">
        <f t="shared" si="85"/>
        <v>#N/A</v>
      </c>
    </row>
    <row r="882" spans="33:37">
      <c r="AG882" s="41" t="str">
        <f t="shared" si="86"/>
        <v/>
      </c>
      <c r="AH882" t="str">
        <f t="shared" si="82"/>
        <v/>
      </c>
      <c r="AI882" t="e">
        <f t="shared" si="83"/>
        <v>#N/A</v>
      </c>
      <c r="AJ882" s="6" t="e">
        <f t="shared" si="84"/>
        <v>#N/A</v>
      </c>
      <c r="AK882" s="19" t="e">
        <f t="shared" si="85"/>
        <v>#N/A</v>
      </c>
    </row>
    <row r="883" spans="33:37">
      <c r="AG883" s="41" t="str">
        <f t="shared" si="86"/>
        <v/>
      </c>
      <c r="AH883" t="str">
        <f t="shared" si="82"/>
        <v/>
      </c>
      <c r="AI883" t="e">
        <f t="shared" si="83"/>
        <v>#N/A</v>
      </c>
      <c r="AJ883" s="6" t="e">
        <f t="shared" si="84"/>
        <v>#N/A</v>
      </c>
      <c r="AK883" s="19" t="e">
        <f t="shared" si="85"/>
        <v>#N/A</v>
      </c>
    </row>
    <row r="884" spans="33:37">
      <c r="AG884" s="41" t="str">
        <f t="shared" si="86"/>
        <v/>
      </c>
      <c r="AH884" t="str">
        <f t="shared" si="82"/>
        <v/>
      </c>
      <c r="AI884" t="e">
        <f t="shared" si="83"/>
        <v>#N/A</v>
      </c>
      <c r="AJ884" s="6" t="e">
        <f t="shared" si="84"/>
        <v>#N/A</v>
      </c>
      <c r="AK884" s="19" t="e">
        <f t="shared" si="85"/>
        <v>#N/A</v>
      </c>
    </row>
    <row r="885" spans="33:37">
      <c r="AG885" s="41" t="str">
        <f t="shared" si="86"/>
        <v/>
      </c>
      <c r="AH885" t="str">
        <f t="shared" si="82"/>
        <v/>
      </c>
      <c r="AI885" t="e">
        <f t="shared" si="83"/>
        <v>#N/A</v>
      </c>
      <c r="AJ885" s="6" t="e">
        <f t="shared" si="84"/>
        <v>#N/A</v>
      </c>
      <c r="AK885" s="19" t="e">
        <f t="shared" si="85"/>
        <v>#N/A</v>
      </c>
    </row>
    <row r="886" spans="33:37">
      <c r="AG886" s="41" t="str">
        <f t="shared" si="86"/>
        <v/>
      </c>
      <c r="AH886" t="str">
        <f t="shared" si="82"/>
        <v/>
      </c>
      <c r="AI886" t="e">
        <f t="shared" si="83"/>
        <v>#N/A</v>
      </c>
      <c r="AJ886" s="6" t="e">
        <f t="shared" si="84"/>
        <v>#N/A</v>
      </c>
      <c r="AK886" s="19" t="e">
        <f t="shared" si="85"/>
        <v>#N/A</v>
      </c>
    </row>
    <row r="887" spans="33:37">
      <c r="AG887" s="41" t="str">
        <f t="shared" si="86"/>
        <v/>
      </c>
      <c r="AH887" t="str">
        <f t="shared" si="82"/>
        <v/>
      </c>
      <c r="AI887" t="e">
        <f t="shared" si="83"/>
        <v>#N/A</v>
      </c>
      <c r="AJ887" s="6" t="e">
        <f t="shared" si="84"/>
        <v>#N/A</v>
      </c>
      <c r="AK887" s="19" t="e">
        <f t="shared" si="85"/>
        <v>#N/A</v>
      </c>
    </row>
    <row r="888" spans="33:37">
      <c r="AG888" s="41" t="str">
        <f t="shared" si="86"/>
        <v/>
      </c>
      <c r="AH888" t="str">
        <f t="shared" si="82"/>
        <v/>
      </c>
      <c r="AI888" t="e">
        <f t="shared" si="83"/>
        <v>#N/A</v>
      </c>
      <c r="AJ888" s="6" t="e">
        <f t="shared" si="84"/>
        <v>#N/A</v>
      </c>
      <c r="AK888" s="19" t="e">
        <f t="shared" si="85"/>
        <v>#N/A</v>
      </c>
    </row>
    <row r="889" spans="33:37">
      <c r="AG889" s="41" t="str">
        <f t="shared" si="86"/>
        <v/>
      </c>
      <c r="AH889" t="str">
        <f t="shared" ref="AH889:AH952" si="87">IF(AG889&lt;&gt;"",MID($AE$4,AG889,1),"")</f>
        <v/>
      </c>
      <c r="AI889" t="e">
        <f t="shared" ref="AI889:AI952" si="88">IFERROR(VLOOKUP(AH889,$AA$4:$AB$13,2,0),VLOOKUP(AH889,$AC$4:$AD$13,2,0))</f>
        <v>#N/A</v>
      </c>
      <c r="AJ889" s="6" t="e">
        <f t="shared" ref="AJ889:AJ952" si="89">IF(AND(AI888="Rg",AI890="Rg"),"2Rg",IF(AND(AI888="Rg",AI890="Fx"),"RgFx",IF(AND(AI888="Fx",AI890="Rg"),"RgFx",IF(AND(AI888="Fx",AI890="Fx"),"2Fx",""))))</f>
        <v>#N/A</v>
      </c>
      <c r="AK889" s="19" t="e">
        <f t="shared" ref="AK889:AK952" si="90">IF(AJ889&lt;&gt;"",VLOOKUP(AJ889,mv,HLOOKUP(AH889,mh,2,0),0),"")</f>
        <v>#N/A</v>
      </c>
    </row>
    <row r="890" spans="33:37">
      <c r="AG890" s="41" t="str">
        <f t="shared" si="86"/>
        <v/>
      </c>
      <c r="AH890" t="str">
        <f t="shared" si="87"/>
        <v/>
      </c>
      <c r="AI890" t="e">
        <f t="shared" si="88"/>
        <v>#N/A</v>
      </c>
      <c r="AJ890" s="6" t="e">
        <f t="shared" si="89"/>
        <v>#N/A</v>
      </c>
      <c r="AK890" s="19" t="e">
        <f t="shared" si="90"/>
        <v>#N/A</v>
      </c>
    </row>
    <row r="891" spans="33:37">
      <c r="AG891" s="41" t="str">
        <f t="shared" si="86"/>
        <v/>
      </c>
      <c r="AH891" t="str">
        <f t="shared" si="87"/>
        <v/>
      </c>
      <c r="AI891" t="e">
        <f t="shared" si="88"/>
        <v>#N/A</v>
      </c>
      <c r="AJ891" s="6" t="e">
        <f t="shared" si="89"/>
        <v>#N/A</v>
      </c>
      <c r="AK891" s="19" t="e">
        <f t="shared" si="90"/>
        <v>#N/A</v>
      </c>
    </row>
    <row r="892" spans="33:37">
      <c r="AG892" s="41" t="str">
        <f t="shared" si="86"/>
        <v/>
      </c>
      <c r="AH892" t="str">
        <f t="shared" si="87"/>
        <v/>
      </c>
      <c r="AI892" t="e">
        <f t="shared" si="88"/>
        <v>#N/A</v>
      </c>
      <c r="AJ892" s="6" t="e">
        <f t="shared" si="89"/>
        <v>#N/A</v>
      </c>
      <c r="AK892" s="19" t="e">
        <f t="shared" si="90"/>
        <v>#N/A</v>
      </c>
    </row>
    <row r="893" spans="33:37">
      <c r="AG893" s="41" t="str">
        <f t="shared" si="86"/>
        <v/>
      </c>
      <c r="AH893" t="str">
        <f t="shared" si="87"/>
        <v/>
      </c>
      <c r="AI893" t="e">
        <f t="shared" si="88"/>
        <v>#N/A</v>
      </c>
      <c r="AJ893" s="6" t="e">
        <f t="shared" si="89"/>
        <v>#N/A</v>
      </c>
      <c r="AK893" s="19" t="e">
        <f t="shared" si="90"/>
        <v>#N/A</v>
      </c>
    </row>
    <row r="894" spans="33:37">
      <c r="AG894" s="41" t="str">
        <f t="shared" si="86"/>
        <v/>
      </c>
      <c r="AH894" t="str">
        <f t="shared" si="87"/>
        <v/>
      </c>
      <c r="AI894" t="e">
        <f t="shared" si="88"/>
        <v>#N/A</v>
      </c>
      <c r="AJ894" s="6" t="e">
        <f t="shared" si="89"/>
        <v>#N/A</v>
      </c>
      <c r="AK894" s="19" t="e">
        <f t="shared" si="90"/>
        <v>#N/A</v>
      </c>
    </row>
    <row r="895" spans="33:37">
      <c r="AG895" s="41" t="str">
        <f t="shared" si="86"/>
        <v/>
      </c>
      <c r="AH895" t="str">
        <f t="shared" si="87"/>
        <v/>
      </c>
      <c r="AI895" t="e">
        <f t="shared" si="88"/>
        <v>#N/A</v>
      </c>
      <c r="AJ895" s="6" t="e">
        <f t="shared" si="89"/>
        <v>#N/A</v>
      </c>
      <c r="AK895" s="19" t="e">
        <f t="shared" si="90"/>
        <v>#N/A</v>
      </c>
    </row>
    <row r="896" spans="33:37">
      <c r="AG896" s="41" t="str">
        <f t="shared" si="86"/>
        <v/>
      </c>
      <c r="AH896" t="str">
        <f t="shared" si="87"/>
        <v/>
      </c>
      <c r="AI896" t="e">
        <f t="shared" si="88"/>
        <v>#N/A</v>
      </c>
      <c r="AJ896" s="6" t="e">
        <f t="shared" si="89"/>
        <v>#N/A</v>
      </c>
      <c r="AK896" s="19" t="e">
        <f t="shared" si="90"/>
        <v>#N/A</v>
      </c>
    </row>
    <row r="897" spans="33:37">
      <c r="AG897" s="41" t="str">
        <f t="shared" si="86"/>
        <v/>
      </c>
      <c r="AH897" t="str">
        <f t="shared" si="87"/>
        <v/>
      </c>
      <c r="AI897" t="e">
        <f t="shared" si="88"/>
        <v>#N/A</v>
      </c>
      <c r="AJ897" s="6" t="e">
        <f t="shared" si="89"/>
        <v>#N/A</v>
      </c>
      <c r="AK897" s="19" t="e">
        <f t="shared" si="90"/>
        <v>#N/A</v>
      </c>
    </row>
    <row r="898" spans="33:37">
      <c r="AG898" s="41" t="str">
        <f t="shared" si="86"/>
        <v/>
      </c>
      <c r="AH898" t="str">
        <f t="shared" si="87"/>
        <v/>
      </c>
      <c r="AI898" t="e">
        <f t="shared" si="88"/>
        <v>#N/A</v>
      </c>
      <c r="AJ898" s="6" t="e">
        <f t="shared" si="89"/>
        <v>#N/A</v>
      </c>
      <c r="AK898" s="19" t="e">
        <f t="shared" si="90"/>
        <v>#N/A</v>
      </c>
    </row>
    <row r="899" spans="33:37">
      <c r="AG899" s="41" t="str">
        <f t="shared" si="86"/>
        <v/>
      </c>
      <c r="AH899" t="str">
        <f t="shared" si="87"/>
        <v/>
      </c>
      <c r="AI899" t="e">
        <f t="shared" si="88"/>
        <v>#N/A</v>
      </c>
      <c r="AJ899" s="6" t="e">
        <f t="shared" si="89"/>
        <v>#N/A</v>
      </c>
      <c r="AK899" s="19" t="e">
        <f t="shared" si="90"/>
        <v>#N/A</v>
      </c>
    </row>
    <row r="900" spans="33:37">
      <c r="AG900" s="41" t="str">
        <f t="shared" si="86"/>
        <v/>
      </c>
      <c r="AH900" t="str">
        <f t="shared" si="87"/>
        <v/>
      </c>
      <c r="AI900" t="e">
        <f t="shared" si="88"/>
        <v>#N/A</v>
      </c>
      <c r="AJ900" s="6" t="e">
        <f t="shared" si="89"/>
        <v>#N/A</v>
      </c>
      <c r="AK900" s="19" t="e">
        <f t="shared" si="90"/>
        <v>#N/A</v>
      </c>
    </row>
    <row r="901" spans="33:37">
      <c r="AG901" s="41" t="str">
        <f t="shared" ref="AG901:AG964" si="91">IF(AG900&lt;$AF$4,AG900+1,"")</f>
        <v/>
      </c>
      <c r="AH901" t="str">
        <f t="shared" si="87"/>
        <v/>
      </c>
      <c r="AI901" t="e">
        <f t="shared" si="88"/>
        <v>#N/A</v>
      </c>
      <c r="AJ901" s="6" t="e">
        <f t="shared" si="89"/>
        <v>#N/A</v>
      </c>
      <c r="AK901" s="19" t="e">
        <f t="shared" si="90"/>
        <v>#N/A</v>
      </c>
    </row>
    <row r="902" spans="33:37">
      <c r="AG902" s="41" t="str">
        <f t="shared" si="91"/>
        <v/>
      </c>
      <c r="AH902" t="str">
        <f t="shared" si="87"/>
        <v/>
      </c>
      <c r="AI902" t="e">
        <f t="shared" si="88"/>
        <v>#N/A</v>
      </c>
      <c r="AJ902" s="6" t="e">
        <f t="shared" si="89"/>
        <v>#N/A</v>
      </c>
      <c r="AK902" s="19" t="e">
        <f t="shared" si="90"/>
        <v>#N/A</v>
      </c>
    </row>
    <row r="903" spans="33:37">
      <c r="AG903" s="41" t="str">
        <f t="shared" si="91"/>
        <v/>
      </c>
      <c r="AH903" t="str">
        <f t="shared" si="87"/>
        <v/>
      </c>
      <c r="AI903" t="e">
        <f t="shared" si="88"/>
        <v>#N/A</v>
      </c>
      <c r="AJ903" s="6" t="e">
        <f t="shared" si="89"/>
        <v>#N/A</v>
      </c>
      <c r="AK903" s="19" t="e">
        <f t="shared" si="90"/>
        <v>#N/A</v>
      </c>
    </row>
    <row r="904" spans="33:37">
      <c r="AG904" s="41" t="str">
        <f t="shared" si="91"/>
        <v/>
      </c>
      <c r="AH904" t="str">
        <f t="shared" si="87"/>
        <v/>
      </c>
      <c r="AI904" t="e">
        <f t="shared" si="88"/>
        <v>#N/A</v>
      </c>
      <c r="AJ904" s="6" t="e">
        <f t="shared" si="89"/>
        <v>#N/A</v>
      </c>
      <c r="AK904" s="19" t="e">
        <f t="shared" si="90"/>
        <v>#N/A</v>
      </c>
    </row>
    <row r="905" spans="33:37">
      <c r="AG905" s="41" t="str">
        <f t="shared" si="91"/>
        <v/>
      </c>
      <c r="AH905" t="str">
        <f t="shared" si="87"/>
        <v/>
      </c>
      <c r="AI905" t="e">
        <f t="shared" si="88"/>
        <v>#N/A</v>
      </c>
      <c r="AJ905" s="6" t="e">
        <f t="shared" si="89"/>
        <v>#N/A</v>
      </c>
      <c r="AK905" s="19" t="e">
        <f t="shared" si="90"/>
        <v>#N/A</v>
      </c>
    </row>
    <row r="906" spans="33:37">
      <c r="AG906" s="41" t="str">
        <f t="shared" si="91"/>
        <v/>
      </c>
      <c r="AH906" t="str">
        <f t="shared" si="87"/>
        <v/>
      </c>
      <c r="AI906" t="e">
        <f t="shared" si="88"/>
        <v>#N/A</v>
      </c>
      <c r="AJ906" s="6" t="e">
        <f t="shared" si="89"/>
        <v>#N/A</v>
      </c>
      <c r="AK906" s="19" t="e">
        <f t="shared" si="90"/>
        <v>#N/A</v>
      </c>
    </row>
    <row r="907" spans="33:37">
      <c r="AG907" s="41" t="str">
        <f t="shared" si="91"/>
        <v/>
      </c>
      <c r="AH907" t="str">
        <f t="shared" si="87"/>
        <v/>
      </c>
      <c r="AI907" t="e">
        <f t="shared" si="88"/>
        <v>#N/A</v>
      </c>
      <c r="AJ907" s="6" t="e">
        <f t="shared" si="89"/>
        <v>#N/A</v>
      </c>
      <c r="AK907" s="19" t="e">
        <f t="shared" si="90"/>
        <v>#N/A</v>
      </c>
    </row>
    <row r="908" spans="33:37">
      <c r="AG908" s="41" t="str">
        <f t="shared" si="91"/>
        <v/>
      </c>
      <c r="AH908" t="str">
        <f t="shared" si="87"/>
        <v/>
      </c>
      <c r="AI908" t="e">
        <f t="shared" si="88"/>
        <v>#N/A</v>
      </c>
      <c r="AJ908" s="6" t="e">
        <f t="shared" si="89"/>
        <v>#N/A</v>
      </c>
      <c r="AK908" s="19" t="e">
        <f t="shared" si="90"/>
        <v>#N/A</v>
      </c>
    </row>
    <row r="909" spans="33:37">
      <c r="AG909" s="41" t="str">
        <f t="shared" si="91"/>
        <v/>
      </c>
      <c r="AH909" t="str">
        <f t="shared" si="87"/>
        <v/>
      </c>
      <c r="AI909" t="e">
        <f t="shared" si="88"/>
        <v>#N/A</v>
      </c>
      <c r="AJ909" s="6" t="e">
        <f t="shared" si="89"/>
        <v>#N/A</v>
      </c>
      <c r="AK909" s="19" t="e">
        <f t="shared" si="90"/>
        <v>#N/A</v>
      </c>
    </row>
    <row r="910" spans="33:37">
      <c r="AG910" s="41" t="str">
        <f t="shared" si="91"/>
        <v/>
      </c>
      <c r="AH910" t="str">
        <f t="shared" si="87"/>
        <v/>
      </c>
      <c r="AI910" t="e">
        <f t="shared" si="88"/>
        <v>#N/A</v>
      </c>
      <c r="AJ910" s="6" t="e">
        <f t="shared" si="89"/>
        <v>#N/A</v>
      </c>
      <c r="AK910" s="19" t="e">
        <f t="shared" si="90"/>
        <v>#N/A</v>
      </c>
    </row>
    <row r="911" spans="33:37">
      <c r="AG911" s="41" t="str">
        <f t="shared" si="91"/>
        <v/>
      </c>
      <c r="AH911" t="str">
        <f t="shared" si="87"/>
        <v/>
      </c>
      <c r="AI911" t="e">
        <f t="shared" si="88"/>
        <v>#N/A</v>
      </c>
      <c r="AJ911" s="6" t="e">
        <f t="shared" si="89"/>
        <v>#N/A</v>
      </c>
      <c r="AK911" s="19" t="e">
        <f t="shared" si="90"/>
        <v>#N/A</v>
      </c>
    </row>
    <row r="912" spans="33:37">
      <c r="AG912" s="41" t="str">
        <f t="shared" si="91"/>
        <v/>
      </c>
      <c r="AH912" t="str">
        <f t="shared" si="87"/>
        <v/>
      </c>
      <c r="AI912" t="e">
        <f t="shared" si="88"/>
        <v>#N/A</v>
      </c>
      <c r="AJ912" s="6" t="e">
        <f t="shared" si="89"/>
        <v>#N/A</v>
      </c>
      <c r="AK912" s="19" t="e">
        <f t="shared" si="90"/>
        <v>#N/A</v>
      </c>
    </row>
    <row r="913" spans="33:37">
      <c r="AG913" s="41" t="str">
        <f t="shared" si="91"/>
        <v/>
      </c>
      <c r="AH913" t="str">
        <f t="shared" si="87"/>
        <v/>
      </c>
      <c r="AI913" t="e">
        <f t="shared" si="88"/>
        <v>#N/A</v>
      </c>
      <c r="AJ913" s="6" t="e">
        <f t="shared" si="89"/>
        <v>#N/A</v>
      </c>
      <c r="AK913" s="19" t="e">
        <f t="shared" si="90"/>
        <v>#N/A</v>
      </c>
    </row>
    <row r="914" spans="33:37">
      <c r="AG914" s="41" t="str">
        <f t="shared" si="91"/>
        <v/>
      </c>
      <c r="AH914" t="str">
        <f t="shared" si="87"/>
        <v/>
      </c>
      <c r="AI914" t="e">
        <f t="shared" si="88"/>
        <v>#N/A</v>
      </c>
      <c r="AJ914" s="6" t="e">
        <f t="shared" si="89"/>
        <v>#N/A</v>
      </c>
      <c r="AK914" s="19" t="e">
        <f t="shared" si="90"/>
        <v>#N/A</v>
      </c>
    </row>
    <row r="915" spans="33:37">
      <c r="AG915" s="41" t="str">
        <f t="shared" si="91"/>
        <v/>
      </c>
      <c r="AH915" t="str">
        <f t="shared" si="87"/>
        <v/>
      </c>
      <c r="AI915" t="e">
        <f t="shared" si="88"/>
        <v>#N/A</v>
      </c>
      <c r="AJ915" s="6" t="e">
        <f t="shared" si="89"/>
        <v>#N/A</v>
      </c>
      <c r="AK915" s="19" t="e">
        <f t="shared" si="90"/>
        <v>#N/A</v>
      </c>
    </row>
    <row r="916" spans="33:37">
      <c r="AG916" s="41" t="str">
        <f t="shared" si="91"/>
        <v/>
      </c>
      <c r="AH916" t="str">
        <f t="shared" si="87"/>
        <v/>
      </c>
      <c r="AI916" t="e">
        <f t="shared" si="88"/>
        <v>#N/A</v>
      </c>
      <c r="AJ916" s="6" t="e">
        <f t="shared" si="89"/>
        <v>#N/A</v>
      </c>
      <c r="AK916" s="19" t="e">
        <f t="shared" si="90"/>
        <v>#N/A</v>
      </c>
    </row>
    <row r="917" spans="33:37">
      <c r="AG917" s="41" t="str">
        <f t="shared" si="91"/>
        <v/>
      </c>
      <c r="AH917" t="str">
        <f t="shared" si="87"/>
        <v/>
      </c>
      <c r="AI917" t="e">
        <f t="shared" si="88"/>
        <v>#N/A</v>
      </c>
      <c r="AJ917" s="6" t="e">
        <f t="shared" si="89"/>
        <v>#N/A</v>
      </c>
      <c r="AK917" s="19" t="e">
        <f t="shared" si="90"/>
        <v>#N/A</v>
      </c>
    </row>
    <row r="918" spans="33:37">
      <c r="AG918" s="41" t="str">
        <f t="shared" si="91"/>
        <v/>
      </c>
      <c r="AH918" t="str">
        <f t="shared" si="87"/>
        <v/>
      </c>
      <c r="AI918" t="e">
        <f t="shared" si="88"/>
        <v>#N/A</v>
      </c>
      <c r="AJ918" s="6" t="e">
        <f t="shared" si="89"/>
        <v>#N/A</v>
      </c>
      <c r="AK918" s="19" t="e">
        <f t="shared" si="90"/>
        <v>#N/A</v>
      </c>
    </row>
    <row r="919" spans="33:37">
      <c r="AG919" s="41" t="str">
        <f t="shared" si="91"/>
        <v/>
      </c>
      <c r="AH919" t="str">
        <f t="shared" si="87"/>
        <v/>
      </c>
      <c r="AI919" t="e">
        <f t="shared" si="88"/>
        <v>#N/A</v>
      </c>
      <c r="AJ919" s="6" t="e">
        <f t="shared" si="89"/>
        <v>#N/A</v>
      </c>
      <c r="AK919" s="19" t="e">
        <f t="shared" si="90"/>
        <v>#N/A</v>
      </c>
    </row>
    <row r="920" spans="33:37">
      <c r="AG920" s="41" t="str">
        <f t="shared" si="91"/>
        <v/>
      </c>
      <c r="AH920" t="str">
        <f t="shared" si="87"/>
        <v/>
      </c>
      <c r="AI920" t="e">
        <f t="shared" si="88"/>
        <v>#N/A</v>
      </c>
      <c r="AJ920" s="6" t="e">
        <f t="shared" si="89"/>
        <v>#N/A</v>
      </c>
      <c r="AK920" s="19" t="e">
        <f t="shared" si="90"/>
        <v>#N/A</v>
      </c>
    </row>
    <row r="921" spans="33:37">
      <c r="AG921" s="41" t="str">
        <f t="shared" si="91"/>
        <v/>
      </c>
      <c r="AH921" t="str">
        <f t="shared" si="87"/>
        <v/>
      </c>
      <c r="AI921" t="e">
        <f t="shared" si="88"/>
        <v>#N/A</v>
      </c>
      <c r="AJ921" s="6" t="e">
        <f t="shared" si="89"/>
        <v>#N/A</v>
      </c>
      <c r="AK921" s="19" t="e">
        <f t="shared" si="90"/>
        <v>#N/A</v>
      </c>
    </row>
    <row r="922" spans="33:37">
      <c r="AG922" s="41" t="str">
        <f t="shared" si="91"/>
        <v/>
      </c>
      <c r="AH922" t="str">
        <f t="shared" si="87"/>
        <v/>
      </c>
      <c r="AI922" t="e">
        <f t="shared" si="88"/>
        <v>#N/A</v>
      </c>
      <c r="AJ922" s="6" t="e">
        <f t="shared" si="89"/>
        <v>#N/A</v>
      </c>
      <c r="AK922" s="19" t="e">
        <f t="shared" si="90"/>
        <v>#N/A</v>
      </c>
    </row>
    <row r="923" spans="33:37">
      <c r="AG923" s="41" t="str">
        <f t="shared" si="91"/>
        <v/>
      </c>
      <c r="AH923" t="str">
        <f t="shared" si="87"/>
        <v/>
      </c>
      <c r="AI923" t="e">
        <f t="shared" si="88"/>
        <v>#N/A</v>
      </c>
      <c r="AJ923" s="6" t="e">
        <f t="shared" si="89"/>
        <v>#N/A</v>
      </c>
      <c r="AK923" s="19" t="e">
        <f t="shared" si="90"/>
        <v>#N/A</v>
      </c>
    </row>
    <row r="924" spans="33:37">
      <c r="AG924" s="41" t="str">
        <f t="shared" si="91"/>
        <v/>
      </c>
      <c r="AH924" t="str">
        <f t="shared" si="87"/>
        <v/>
      </c>
      <c r="AI924" t="e">
        <f t="shared" si="88"/>
        <v>#N/A</v>
      </c>
      <c r="AJ924" s="6" t="e">
        <f t="shared" si="89"/>
        <v>#N/A</v>
      </c>
      <c r="AK924" s="19" t="e">
        <f t="shared" si="90"/>
        <v>#N/A</v>
      </c>
    </row>
    <row r="925" spans="33:37">
      <c r="AG925" s="41" t="str">
        <f t="shared" si="91"/>
        <v/>
      </c>
      <c r="AH925" t="str">
        <f t="shared" si="87"/>
        <v/>
      </c>
      <c r="AI925" t="e">
        <f t="shared" si="88"/>
        <v>#N/A</v>
      </c>
      <c r="AJ925" s="6" t="e">
        <f t="shared" si="89"/>
        <v>#N/A</v>
      </c>
      <c r="AK925" s="19" t="e">
        <f t="shared" si="90"/>
        <v>#N/A</v>
      </c>
    </row>
    <row r="926" spans="33:37">
      <c r="AG926" s="41" t="str">
        <f t="shared" si="91"/>
        <v/>
      </c>
      <c r="AH926" t="str">
        <f t="shared" si="87"/>
        <v/>
      </c>
      <c r="AI926" t="e">
        <f t="shared" si="88"/>
        <v>#N/A</v>
      </c>
      <c r="AJ926" s="6" t="e">
        <f t="shared" si="89"/>
        <v>#N/A</v>
      </c>
      <c r="AK926" s="19" t="e">
        <f t="shared" si="90"/>
        <v>#N/A</v>
      </c>
    </row>
    <row r="927" spans="33:37">
      <c r="AG927" s="41" t="str">
        <f t="shared" si="91"/>
        <v/>
      </c>
      <c r="AH927" t="str">
        <f t="shared" si="87"/>
        <v/>
      </c>
      <c r="AI927" t="e">
        <f t="shared" si="88"/>
        <v>#N/A</v>
      </c>
      <c r="AJ927" s="6" t="e">
        <f t="shared" si="89"/>
        <v>#N/A</v>
      </c>
      <c r="AK927" s="19" t="e">
        <f t="shared" si="90"/>
        <v>#N/A</v>
      </c>
    </row>
    <row r="928" spans="33:37">
      <c r="AG928" s="41" t="str">
        <f t="shared" si="91"/>
        <v/>
      </c>
      <c r="AH928" t="str">
        <f t="shared" si="87"/>
        <v/>
      </c>
      <c r="AI928" t="e">
        <f t="shared" si="88"/>
        <v>#N/A</v>
      </c>
      <c r="AJ928" s="6" t="e">
        <f t="shared" si="89"/>
        <v>#N/A</v>
      </c>
      <c r="AK928" s="19" t="e">
        <f t="shared" si="90"/>
        <v>#N/A</v>
      </c>
    </row>
    <row r="929" spans="33:37">
      <c r="AG929" s="41" t="str">
        <f t="shared" si="91"/>
        <v/>
      </c>
      <c r="AH929" t="str">
        <f t="shared" si="87"/>
        <v/>
      </c>
      <c r="AI929" t="e">
        <f t="shared" si="88"/>
        <v>#N/A</v>
      </c>
      <c r="AJ929" s="6" t="e">
        <f t="shared" si="89"/>
        <v>#N/A</v>
      </c>
      <c r="AK929" s="19" t="e">
        <f t="shared" si="90"/>
        <v>#N/A</v>
      </c>
    </row>
    <row r="930" spans="33:37">
      <c r="AG930" s="41" t="str">
        <f t="shared" si="91"/>
        <v/>
      </c>
      <c r="AH930" t="str">
        <f t="shared" si="87"/>
        <v/>
      </c>
      <c r="AI930" t="e">
        <f t="shared" si="88"/>
        <v>#N/A</v>
      </c>
      <c r="AJ930" s="6" t="e">
        <f t="shared" si="89"/>
        <v>#N/A</v>
      </c>
      <c r="AK930" s="19" t="e">
        <f t="shared" si="90"/>
        <v>#N/A</v>
      </c>
    </row>
    <row r="931" spans="33:37">
      <c r="AG931" s="41" t="str">
        <f t="shared" si="91"/>
        <v/>
      </c>
      <c r="AH931" t="str">
        <f t="shared" si="87"/>
        <v/>
      </c>
      <c r="AI931" t="e">
        <f t="shared" si="88"/>
        <v>#N/A</v>
      </c>
      <c r="AJ931" s="6" t="e">
        <f t="shared" si="89"/>
        <v>#N/A</v>
      </c>
      <c r="AK931" s="19" t="e">
        <f t="shared" si="90"/>
        <v>#N/A</v>
      </c>
    </row>
    <row r="932" spans="33:37">
      <c r="AG932" s="41" t="str">
        <f t="shared" si="91"/>
        <v/>
      </c>
      <c r="AH932" t="str">
        <f t="shared" si="87"/>
        <v/>
      </c>
      <c r="AI932" t="e">
        <f t="shared" si="88"/>
        <v>#N/A</v>
      </c>
      <c r="AJ932" s="6" t="e">
        <f t="shared" si="89"/>
        <v>#N/A</v>
      </c>
      <c r="AK932" s="19" t="e">
        <f t="shared" si="90"/>
        <v>#N/A</v>
      </c>
    </row>
    <row r="933" spans="33:37">
      <c r="AG933" s="41" t="str">
        <f t="shared" si="91"/>
        <v/>
      </c>
      <c r="AH933" t="str">
        <f t="shared" si="87"/>
        <v/>
      </c>
      <c r="AI933" t="e">
        <f t="shared" si="88"/>
        <v>#N/A</v>
      </c>
      <c r="AJ933" s="6" t="e">
        <f t="shared" si="89"/>
        <v>#N/A</v>
      </c>
      <c r="AK933" s="19" t="e">
        <f t="shared" si="90"/>
        <v>#N/A</v>
      </c>
    </row>
    <row r="934" spans="33:37">
      <c r="AG934" s="41" t="str">
        <f t="shared" si="91"/>
        <v/>
      </c>
      <c r="AH934" t="str">
        <f t="shared" si="87"/>
        <v/>
      </c>
      <c r="AI934" t="e">
        <f t="shared" si="88"/>
        <v>#N/A</v>
      </c>
      <c r="AJ934" s="6" t="e">
        <f t="shared" si="89"/>
        <v>#N/A</v>
      </c>
      <c r="AK934" s="19" t="e">
        <f t="shared" si="90"/>
        <v>#N/A</v>
      </c>
    </row>
    <row r="935" spans="33:37">
      <c r="AG935" s="41" t="str">
        <f t="shared" si="91"/>
        <v/>
      </c>
      <c r="AH935" t="str">
        <f t="shared" si="87"/>
        <v/>
      </c>
      <c r="AI935" t="e">
        <f t="shared" si="88"/>
        <v>#N/A</v>
      </c>
      <c r="AJ935" s="6" t="e">
        <f t="shared" si="89"/>
        <v>#N/A</v>
      </c>
      <c r="AK935" s="19" t="e">
        <f t="shared" si="90"/>
        <v>#N/A</v>
      </c>
    </row>
    <row r="936" spans="33:37">
      <c r="AG936" s="41" t="str">
        <f t="shared" si="91"/>
        <v/>
      </c>
      <c r="AH936" t="str">
        <f t="shared" si="87"/>
        <v/>
      </c>
      <c r="AI936" t="e">
        <f t="shared" si="88"/>
        <v>#N/A</v>
      </c>
      <c r="AJ936" s="6" t="e">
        <f t="shared" si="89"/>
        <v>#N/A</v>
      </c>
      <c r="AK936" s="19" t="e">
        <f t="shared" si="90"/>
        <v>#N/A</v>
      </c>
    </row>
    <row r="937" spans="33:37">
      <c r="AG937" s="41" t="str">
        <f t="shared" si="91"/>
        <v/>
      </c>
      <c r="AH937" t="str">
        <f t="shared" si="87"/>
        <v/>
      </c>
      <c r="AI937" t="e">
        <f t="shared" si="88"/>
        <v>#N/A</v>
      </c>
      <c r="AJ937" s="6" t="e">
        <f t="shared" si="89"/>
        <v>#N/A</v>
      </c>
      <c r="AK937" s="19" t="e">
        <f t="shared" si="90"/>
        <v>#N/A</v>
      </c>
    </row>
    <row r="938" spans="33:37">
      <c r="AG938" s="41" t="str">
        <f t="shared" si="91"/>
        <v/>
      </c>
      <c r="AH938" t="str">
        <f t="shared" si="87"/>
        <v/>
      </c>
      <c r="AI938" t="e">
        <f t="shared" si="88"/>
        <v>#N/A</v>
      </c>
      <c r="AJ938" s="6" t="e">
        <f t="shared" si="89"/>
        <v>#N/A</v>
      </c>
      <c r="AK938" s="19" t="e">
        <f t="shared" si="90"/>
        <v>#N/A</v>
      </c>
    </row>
    <row r="939" spans="33:37">
      <c r="AG939" s="41" t="str">
        <f t="shared" si="91"/>
        <v/>
      </c>
      <c r="AH939" t="str">
        <f t="shared" si="87"/>
        <v/>
      </c>
      <c r="AI939" t="e">
        <f t="shared" si="88"/>
        <v>#N/A</v>
      </c>
      <c r="AJ939" s="6" t="e">
        <f t="shared" si="89"/>
        <v>#N/A</v>
      </c>
      <c r="AK939" s="19" t="e">
        <f t="shared" si="90"/>
        <v>#N/A</v>
      </c>
    </row>
    <row r="940" spans="33:37">
      <c r="AG940" s="41" t="str">
        <f t="shared" si="91"/>
        <v/>
      </c>
      <c r="AH940" t="str">
        <f t="shared" si="87"/>
        <v/>
      </c>
      <c r="AI940" t="e">
        <f t="shared" si="88"/>
        <v>#N/A</v>
      </c>
      <c r="AJ940" s="6" t="e">
        <f t="shared" si="89"/>
        <v>#N/A</v>
      </c>
      <c r="AK940" s="19" t="e">
        <f t="shared" si="90"/>
        <v>#N/A</v>
      </c>
    </row>
    <row r="941" spans="33:37">
      <c r="AG941" s="41" t="str">
        <f t="shared" si="91"/>
        <v/>
      </c>
      <c r="AH941" t="str">
        <f t="shared" si="87"/>
        <v/>
      </c>
      <c r="AI941" t="e">
        <f t="shared" si="88"/>
        <v>#N/A</v>
      </c>
      <c r="AJ941" s="6" t="e">
        <f t="shared" si="89"/>
        <v>#N/A</v>
      </c>
      <c r="AK941" s="19" t="e">
        <f t="shared" si="90"/>
        <v>#N/A</v>
      </c>
    </row>
    <row r="942" spans="33:37">
      <c r="AG942" s="41" t="str">
        <f t="shared" si="91"/>
        <v/>
      </c>
      <c r="AH942" t="str">
        <f t="shared" si="87"/>
        <v/>
      </c>
      <c r="AI942" t="e">
        <f t="shared" si="88"/>
        <v>#N/A</v>
      </c>
      <c r="AJ942" s="6" t="e">
        <f t="shared" si="89"/>
        <v>#N/A</v>
      </c>
      <c r="AK942" s="19" t="e">
        <f t="shared" si="90"/>
        <v>#N/A</v>
      </c>
    </row>
    <row r="943" spans="33:37">
      <c r="AG943" s="41" t="str">
        <f t="shared" si="91"/>
        <v/>
      </c>
      <c r="AH943" t="str">
        <f t="shared" si="87"/>
        <v/>
      </c>
      <c r="AI943" t="e">
        <f t="shared" si="88"/>
        <v>#N/A</v>
      </c>
      <c r="AJ943" s="6" t="e">
        <f t="shared" si="89"/>
        <v>#N/A</v>
      </c>
      <c r="AK943" s="19" t="e">
        <f t="shared" si="90"/>
        <v>#N/A</v>
      </c>
    </row>
    <row r="944" spans="33:37">
      <c r="AG944" s="41" t="str">
        <f t="shared" si="91"/>
        <v/>
      </c>
      <c r="AH944" t="str">
        <f t="shared" si="87"/>
        <v/>
      </c>
      <c r="AI944" t="e">
        <f t="shared" si="88"/>
        <v>#N/A</v>
      </c>
      <c r="AJ944" s="6" t="e">
        <f t="shared" si="89"/>
        <v>#N/A</v>
      </c>
      <c r="AK944" s="19" t="e">
        <f t="shared" si="90"/>
        <v>#N/A</v>
      </c>
    </row>
    <row r="945" spans="33:37">
      <c r="AG945" s="41" t="str">
        <f t="shared" si="91"/>
        <v/>
      </c>
      <c r="AH945" t="str">
        <f t="shared" si="87"/>
        <v/>
      </c>
      <c r="AI945" t="e">
        <f t="shared" si="88"/>
        <v>#N/A</v>
      </c>
      <c r="AJ945" s="6" t="e">
        <f t="shared" si="89"/>
        <v>#N/A</v>
      </c>
      <c r="AK945" s="19" t="e">
        <f t="shared" si="90"/>
        <v>#N/A</v>
      </c>
    </row>
    <row r="946" spans="33:37">
      <c r="AG946" s="41" t="str">
        <f t="shared" si="91"/>
        <v/>
      </c>
      <c r="AH946" t="str">
        <f t="shared" si="87"/>
        <v/>
      </c>
      <c r="AI946" t="e">
        <f t="shared" si="88"/>
        <v>#N/A</v>
      </c>
      <c r="AJ946" s="6" t="e">
        <f t="shared" si="89"/>
        <v>#N/A</v>
      </c>
      <c r="AK946" s="19" t="e">
        <f t="shared" si="90"/>
        <v>#N/A</v>
      </c>
    </row>
    <row r="947" spans="33:37">
      <c r="AG947" s="41" t="str">
        <f t="shared" si="91"/>
        <v/>
      </c>
      <c r="AH947" t="str">
        <f t="shared" si="87"/>
        <v/>
      </c>
      <c r="AI947" t="e">
        <f t="shared" si="88"/>
        <v>#N/A</v>
      </c>
      <c r="AJ947" s="6" t="e">
        <f t="shared" si="89"/>
        <v>#N/A</v>
      </c>
      <c r="AK947" s="19" t="e">
        <f t="shared" si="90"/>
        <v>#N/A</v>
      </c>
    </row>
    <row r="948" spans="33:37">
      <c r="AG948" s="41" t="str">
        <f t="shared" si="91"/>
        <v/>
      </c>
      <c r="AH948" t="str">
        <f t="shared" si="87"/>
        <v/>
      </c>
      <c r="AI948" t="e">
        <f t="shared" si="88"/>
        <v>#N/A</v>
      </c>
      <c r="AJ948" s="6" t="e">
        <f t="shared" si="89"/>
        <v>#N/A</v>
      </c>
      <c r="AK948" s="19" t="e">
        <f t="shared" si="90"/>
        <v>#N/A</v>
      </c>
    </row>
    <row r="949" spans="33:37">
      <c r="AG949" s="41" t="str">
        <f t="shared" si="91"/>
        <v/>
      </c>
      <c r="AH949" t="str">
        <f t="shared" si="87"/>
        <v/>
      </c>
      <c r="AI949" t="e">
        <f t="shared" si="88"/>
        <v>#N/A</v>
      </c>
      <c r="AJ949" s="6" t="e">
        <f t="shared" si="89"/>
        <v>#N/A</v>
      </c>
      <c r="AK949" s="19" t="e">
        <f t="shared" si="90"/>
        <v>#N/A</v>
      </c>
    </row>
    <row r="950" spans="33:37">
      <c r="AG950" s="41" t="str">
        <f t="shared" si="91"/>
        <v/>
      </c>
      <c r="AH950" t="str">
        <f t="shared" si="87"/>
        <v/>
      </c>
      <c r="AI950" t="e">
        <f t="shared" si="88"/>
        <v>#N/A</v>
      </c>
      <c r="AJ950" s="6" t="e">
        <f t="shared" si="89"/>
        <v>#N/A</v>
      </c>
      <c r="AK950" s="19" t="e">
        <f t="shared" si="90"/>
        <v>#N/A</v>
      </c>
    </row>
    <row r="951" spans="33:37">
      <c r="AG951" s="41" t="str">
        <f t="shared" si="91"/>
        <v/>
      </c>
      <c r="AH951" t="str">
        <f t="shared" si="87"/>
        <v/>
      </c>
      <c r="AI951" t="e">
        <f t="shared" si="88"/>
        <v>#N/A</v>
      </c>
      <c r="AJ951" s="6" t="e">
        <f t="shared" si="89"/>
        <v>#N/A</v>
      </c>
      <c r="AK951" s="19" t="e">
        <f t="shared" si="90"/>
        <v>#N/A</v>
      </c>
    </row>
    <row r="952" spans="33:37">
      <c r="AG952" s="41" t="str">
        <f t="shared" si="91"/>
        <v/>
      </c>
      <c r="AH952" t="str">
        <f t="shared" si="87"/>
        <v/>
      </c>
      <c r="AI952" t="e">
        <f t="shared" si="88"/>
        <v>#N/A</v>
      </c>
      <c r="AJ952" s="6" t="e">
        <f t="shared" si="89"/>
        <v>#N/A</v>
      </c>
      <c r="AK952" s="19" t="e">
        <f t="shared" si="90"/>
        <v>#N/A</v>
      </c>
    </row>
    <row r="953" spans="33:37">
      <c r="AG953" s="41" t="str">
        <f t="shared" si="91"/>
        <v/>
      </c>
      <c r="AH953" t="str">
        <f t="shared" ref="AH953:AH1016" si="92">IF(AG953&lt;&gt;"",MID($AE$4,AG953,1),"")</f>
        <v/>
      </c>
      <c r="AI953" t="e">
        <f t="shared" ref="AI953:AI1016" si="93">IFERROR(VLOOKUP(AH953,$AA$4:$AB$13,2,0),VLOOKUP(AH953,$AC$4:$AD$13,2,0))</f>
        <v>#N/A</v>
      </c>
      <c r="AJ953" s="6" t="e">
        <f t="shared" ref="AJ953:AJ1016" si="94">IF(AND(AI952="Rg",AI954="Rg"),"2Rg",IF(AND(AI952="Rg",AI954="Fx"),"RgFx",IF(AND(AI952="Fx",AI954="Rg"),"RgFx",IF(AND(AI952="Fx",AI954="Fx"),"2Fx",""))))</f>
        <v>#N/A</v>
      </c>
      <c r="AK953" s="19" t="e">
        <f t="shared" ref="AK953:AK1016" si="95">IF(AJ953&lt;&gt;"",VLOOKUP(AJ953,mv,HLOOKUP(AH953,mh,2,0),0),"")</f>
        <v>#N/A</v>
      </c>
    </row>
    <row r="954" spans="33:37">
      <c r="AG954" s="41" t="str">
        <f t="shared" si="91"/>
        <v/>
      </c>
      <c r="AH954" t="str">
        <f t="shared" si="92"/>
        <v/>
      </c>
      <c r="AI954" t="e">
        <f t="shared" si="93"/>
        <v>#N/A</v>
      </c>
      <c r="AJ954" s="6" t="e">
        <f t="shared" si="94"/>
        <v>#N/A</v>
      </c>
      <c r="AK954" s="19" t="e">
        <f t="shared" si="95"/>
        <v>#N/A</v>
      </c>
    </row>
    <row r="955" spans="33:37">
      <c r="AG955" s="41" t="str">
        <f t="shared" si="91"/>
        <v/>
      </c>
      <c r="AH955" t="str">
        <f t="shared" si="92"/>
        <v/>
      </c>
      <c r="AI955" t="e">
        <f t="shared" si="93"/>
        <v>#N/A</v>
      </c>
      <c r="AJ955" s="6" t="e">
        <f t="shared" si="94"/>
        <v>#N/A</v>
      </c>
      <c r="AK955" s="19" t="e">
        <f t="shared" si="95"/>
        <v>#N/A</v>
      </c>
    </row>
    <row r="956" spans="33:37">
      <c r="AG956" s="41" t="str">
        <f t="shared" si="91"/>
        <v/>
      </c>
      <c r="AH956" t="str">
        <f t="shared" si="92"/>
        <v/>
      </c>
      <c r="AI956" t="e">
        <f t="shared" si="93"/>
        <v>#N/A</v>
      </c>
      <c r="AJ956" s="6" t="e">
        <f t="shared" si="94"/>
        <v>#N/A</v>
      </c>
      <c r="AK956" s="19" t="e">
        <f t="shared" si="95"/>
        <v>#N/A</v>
      </c>
    </row>
    <row r="957" spans="33:37">
      <c r="AG957" s="41" t="str">
        <f t="shared" si="91"/>
        <v/>
      </c>
      <c r="AH957" t="str">
        <f t="shared" si="92"/>
        <v/>
      </c>
      <c r="AI957" t="e">
        <f t="shared" si="93"/>
        <v>#N/A</v>
      </c>
      <c r="AJ957" s="6" t="e">
        <f t="shared" si="94"/>
        <v>#N/A</v>
      </c>
      <c r="AK957" s="19" t="e">
        <f t="shared" si="95"/>
        <v>#N/A</v>
      </c>
    </row>
    <row r="958" spans="33:37">
      <c r="AG958" s="41" t="str">
        <f t="shared" si="91"/>
        <v/>
      </c>
      <c r="AH958" t="str">
        <f t="shared" si="92"/>
        <v/>
      </c>
      <c r="AI958" t="e">
        <f t="shared" si="93"/>
        <v>#N/A</v>
      </c>
      <c r="AJ958" s="6" t="e">
        <f t="shared" si="94"/>
        <v>#N/A</v>
      </c>
      <c r="AK958" s="19" t="e">
        <f t="shared" si="95"/>
        <v>#N/A</v>
      </c>
    </row>
    <row r="959" spans="33:37">
      <c r="AG959" s="41" t="str">
        <f t="shared" si="91"/>
        <v/>
      </c>
      <c r="AH959" t="str">
        <f t="shared" si="92"/>
        <v/>
      </c>
      <c r="AI959" t="e">
        <f t="shared" si="93"/>
        <v>#N/A</v>
      </c>
      <c r="AJ959" s="6" t="e">
        <f t="shared" si="94"/>
        <v>#N/A</v>
      </c>
      <c r="AK959" s="19" t="e">
        <f t="shared" si="95"/>
        <v>#N/A</v>
      </c>
    </row>
    <row r="960" spans="33:37">
      <c r="AG960" s="41" t="str">
        <f t="shared" si="91"/>
        <v/>
      </c>
      <c r="AH960" t="str">
        <f t="shared" si="92"/>
        <v/>
      </c>
      <c r="AI960" t="e">
        <f t="shared" si="93"/>
        <v>#N/A</v>
      </c>
      <c r="AJ960" s="6" t="e">
        <f t="shared" si="94"/>
        <v>#N/A</v>
      </c>
      <c r="AK960" s="19" t="e">
        <f t="shared" si="95"/>
        <v>#N/A</v>
      </c>
    </row>
    <row r="961" spans="33:37">
      <c r="AG961" s="41" t="str">
        <f t="shared" si="91"/>
        <v/>
      </c>
      <c r="AH961" t="str">
        <f t="shared" si="92"/>
        <v/>
      </c>
      <c r="AI961" t="e">
        <f t="shared" si="93"/>
        <v>#N/A</v>
      </c>
      <c r="AJ961" s="6" t="e">
        <f t="shared" si="94"/>
        <v>#N/A</v>
      </c>
      <c r="AK961" s="19" t="e">
        <f t="shared" si="95"/>
        <v>#N/A</v>
      </c>
    </row>
    <row r="962" spans="33:37">
      <c r="AG962" s="41" t="str">
        <f t="shared" si="91"/>
        <v/>
      </c>
      <c r="AH962" t="str">
        <f t="shared" si="92"/>
        <v/>
      </c>
      <c r="AI962" t="e">
        <f t="shared" si="93"/>
        <v>#N/A</v>
      </c>
      <c r="AJ962" s="6" t="e">
        <f t="shared" si="94"/>
        <v>#N/A</v>
      </c>
      <c r="AK962" s="19" t="e">
        <f t="shared" si="95"/>
        <v>#N/A</v>
      </c>
    </row>
    <row r="963" spans="33:37">
      <c r="AG963" s="41" t="str">
        <f t="shared" si="91"/>
        <v/>
      </c>
      <c r="AH963" t="str">
        <f t="shared" si="92"/>
        <v/>
      </c>
      <c r="AI963" t="e">
        <f t="shared" si="93"/>
        <v>#N/A</v>
      </c>
      <c r="AJ963" s="6" t="e">
        <f t="shared" si="94"/>
        <v>#N/A</v>
      </c>
      <c r="AK963" s="19" t="e">
        <f t="shared" si="95"/>
        <v>#N/A</v>
      </c>
    </row>
    <row r="964" spans="33:37">
      <c r="AG964" s="41" t="str">
        <f t="shared" si="91"/>
        <v/>
      </c>
      <c r="AH964" t="str">
        <f t="shared" si="92"/>
        <v/>
      </c>
      <c r="AI964" t="e">
        <f t="shared" si="93"/>
        <v>#N/A</v>
      </c>
      <c r="AJ964" s="6" t="e">
        <f t="shared" si="94"/>
        <v>#N/A</v>
      </c>
      <c r="AK964" s="19" t="e">
        <f t="shared" si="95"/>
        <v>#N/A</v>
      </c>
    </row>
    <row r="965" spans="33:37">
      <c r="AG965" s="41" t="str">
        <f t="shared" ref="AG965:AG1028" si="96">IF(AG964&lt;$AF$4,AG964+1,"")</f>
        <v/>
      </c>
      <c r="AH965" t="str">
        <f t="shared" si="92"/>
        <v/>
      </c>
      <c r="AI965" t="e">
        <f t="shared" si="93"/>
        <v>#N/A</v>
      </c>
      <c r="AJ965" s="6" t="e">
        <f t="shared" si="94"/>
        <v>#N/A</v>
      </c>
      <c r="AK965" s="19" t="e">
        <f t="shared" si="95"/>
        <v>#N/A</v>
      </c>
    </row>
    <row r="966" spans="33:37">
      <c r="AG966" s="41" t="str">
        <f t="shared" si="96"/>
        <v/>
      </c>
      <c r="AH966" t="str">
        <f t="shared" si="92"/>
        <v/>
      </c>
      <c r="AI966" t="e">
        <f t="shared" si="93"/>
        <v>#N/A</v>
      </c>
      <c r="AJ966" s="6" t="e">
        <f t="shared" si="94"/>
        <v>#N/A</v>
      </c>
      <c r="AK966" s="19" t="e">
        <f t="shared" si="95"/>
        <v>#N/A</v>
      </c>
    </row>
    <row r="967" spans="33:37">
      <c r="AG967" s="41" t="str">
        <f t="shared" si="96"/>
        <v/>
      </c>
      <c r="AH967" t="str">
        <f t="shared" si="92"/>
        <v/>
      </c>
      <c r="AI967" t="e">
        <f t="shared" si="93"/>
        <v>#N/A</v>
      </c>
      <c r="AJ967" s="6" t="e">
        <f t="shared" si="94"/>
        <v>#N/A</v>
      </c>
      <c r="AK967" s="19" t="e">
        <f t="shared" si="95"/>
        <v>#N/A</v>
      </c>
    </row>
    <row r="968" spans="33:37">
      <c r="AG968" s="41" t="str">
        <f t="shared" si="96"/>
        <v/>
      </c>
      <c r="AH968" t="str">
        <f t="shared" si="92"/>
        <v/>
      </c>
      <c r="AI968" t="e">
        <f t="shared" si="93"/>
        <v>#N/A</v>
      </c>
      <c r="AJ968" s="6" t="e">
        <f t="shared" si="94"/>
        <v>#N/A</v>
      </c>
      <c r="AK968" s="19" t="e">
        <f t="shared" si="95"/>
        <v>#N/A</v>
      </c>
    </row>
    <row r="969" spans="33:37">
      <c r="AG969" s="41" t="str">
        <f t="shared" si="96"/>
        <v/>
      </c>
      <c r="AH969" t="str">
        <f t="shared" si="92"/>
        <v/>
      </c>
      <c r="AI969" t="e">
        <f t="shared" si="93"/>
        <v>#N/A</v>
      </c>
      <c r="AJ969" s="6" t="e">
        <f t="shared" si="94"/>
        <v>#N/A</v>
      </c>
      <c r="AK969" s="19" t="e">
        <f t="shared" si="95"/>
        <v>#N/A</v>
      </c>
    </row>
    <row r="970" spans="33:37">
      <c r="AG970" s="41" t="str">
        <f t="shared" si="96"/>
        <v/>
      </c>
      <c r="AH970" t="str">
        <f t="shared" si="92"/>
        <v/>
      </c>
      <c r="AI970" t="e">
        <f t="shared" si="93"/>
        <v>#N/A</v>
      </c>
      <c r="AJ970" s="6" t="e">
        <f t="shared" si="94"/>
        <v>#N/A</v>
      </c>
      <c r="AK970" s="19" t="e">
        <f t="shared" si="95"/>
        <v>#N/A</v>
      </c>
    </row>
    <row r="971" spans="33:37">
      <c r="AG971" s="41" t="str">
        <f t="shared" si="96"/>
        <v/>
      </c>
      <c r="AH971" t="str">
        <f t="shared" si="92"/>
        <v/>
      </c>
      <c r="AI971" t="e">
        <f t="shared" si="93"/>
        <v>#N/A</v>
      </c>
      <c r="AJ971" s="6" t="e">
        <f t="shared" si="94"/>
        <v>#N/A</v>
      </c>
      <c r="AK971" s="19" t="e">
        <f t="shared" si="95"/>
        <v>#N/A</v>
      </c>
    </row>
    <row r="972" spans="33:37">
      <c r="AG972" s="41" t="str">
        <f t="shared" si="96"/>
        <v/>
      </c>
      <c r="AH972" t="str">
        <f t="shared" si="92"/>
        <v/>
      </c>
      <c r="AI972" t="e">
        <f t="shared" si="93"/>
        <v>#N/A</v>
      </c>
      <c r="AJ972" s="6" t="e">
        <f t="shared" si="94"/>
        <v>#N/A</v>
      </c>
      <c r="AK972" s="19" t="e">
        <f t="shared" si="95"/>
        <v>#N/A</v>
      </c>
    </row>
    <row r="973" spans="33:37">
      <c r="AG973" s="41" t="str">
        <f t="shared" si="96"/>
        <v/>
      </c>
      <c r="AH973" t="str">
        <f t="shared" si="92"/>
        <v/>
      </c>
      <c r="AI973" t="e">
        <f t="shared" si="93"/>
        <v>#N/A</v>
      </c>
      <c r="AJ973" s="6" t="e">
        <f t="shared" si="94"/>
        <v>#N/A</v>
      </c>
      <c r="AK973" s="19" t="e">
        <f t="shared" si="95"/>
        <v>#N/A</v>
      </c>
    </row>
    <row r="974" spans="33:37">
      <c r="AG974" s="41" t="str">
        <f t="shared" si="96"/>
        <v/>
      </c>
      <c r="AH974" t="str">
        <f t="shared" si="92"/>
        <v/>
      </c>
      <c r="AI974" t="e">
        <f t="shared" si="93"/>
        <v>#N/A</v>
      </c>
      <c r="AJ974" s="6" t="e">
        <f t="shared" si="94"/>
        <v>#N/A</v>
      </c>
      <c r="AK974" s="19" t="e">
        <f t="shared" si="95"/>
        <v>#N/A</v>
      </c>
    </row>
    <row r="975" spans="33:37">
      <c r="AG975" s="41" t="str">
        <f t="shared" si="96"/>
        <v/>
      </c>
      <c r="AH975" t="str">
        <f t="shared" si="92"/>
        <v/>
      </c>
      <c r="AI975" t="e">
        <f t="shared" si="93"/>
        <v>#N/A</v>
      </c>
      <c r="AJ975" s="6" t="e">
        <f t="shared" si="94"/>
        <v>#N/A</v>
      </c>
      <c r="AK975" s="19" t="e">
        <f t="shared" si="95"/>
        <v>#N/A</v>
      </c>
    </row>
    <row r="976" spans="33:37">
      <c r="AG976" s="41" t="str">
        <f t="shared" si="96"/>
        <v/>
      </c>
      <c r="AH976" t="str">
        <f t="shared" si="92"/>
        <v/>
      </c>
      <c r="AI976" t="e">
        <f t="shared" si="93"/>
        <v>#N/A</v>
      </c>
      <c r="AJ976" s="6" t="e">
        <f t="shared" si="94"/>
        <v>#N/A</v>
      </c>
      <c r="AK976" s="19" t="e">
        <f t="shared" si="95"/>
        <v>#N/A</v>
      </c>
    </row>
    <row r="977" spans="33:37">
      <c r="AG977" s="41" t="str">
        <f t="shared" si="96"/>
        <v/>
      </c>
      <c r="AH977" t="str">
        <f t="shared" si="92"/>
        <v/>
      </c>
      <c r="AI977" t="e">
        <f t="shared" si="93"/>
        <v>#N/A</v>
      </c>
      <c r="AJ977" s="6" t="e">
        <f t="shared" si="94"/>
        <v>#N/A</v>
      </c>
      <c r="AK977" s="19" t="e">
        <f t="shared" si="95"/>
        <v>#N/A</v>
      </c>
    </row>
    <row r="978" spans="33:37">
      <c r="AG978" s="41" t="str">
        <f t="shared" si="96"/>
        <v/>
      </c>
      <c r="AH978" t="str">
        <f t="shared" si="92"/>
        <v/>
      </c>
      <c r="AI978" t="e">
        <f t="shared" si="93"/>
        <v>#N/A</v>
      </c>
      <c r="AJ978" s="6" t="e">
        <f t="shared" si="94"/>
        <v>#N/A</v>
      </c>
      <c r="AK978" s="19" t="e">
        <f t="shared" si="95"/>
        <v>#N/A</v>
      </c>
    </row>
    <row r="979" spans="33:37">
      <c r="AG979" s="41" t="str">
        <f t="shared" si="96"/>
        <v/>
      </c>
      <c r="AH979" t="str">
        <f t="shared" si="92"/>
        <v/>
      </c>
      <c r="AI979" t="e">
        <f t="shared" si="93"/>
        <v>#N/A</v>
      </c>
      <c r="AJ979" s="6" t="e">
        <f t="shared" si="94"/>
        <v>#N/A</v>
      </c>
      <c r="AK979" s="19" t="e">
        <f t="shared" si="95"/>
        <v>#N/A</v>
      </c>
    </row>
    <row r="980" spans="33:37">
      <c r="AG980" s="41" t="str">
        <f t="shared" si="96"/>
        <v/>
      </c>
      <c r="AH980" t="str">
        <f t="shared" si="92"/>
        <v/>
      </c>
      <c r="AI980" t="e">
        <f t="shared" si="93"/>
        <v>#N/A</v>
      </c>
      <c r="AJ980" s="6" t="e">
        <f t="shared" si="94"/>
        <v>#N/A</v>
      </c>
      <c r="AK980" s="19" t="e">
        <f t="shared" si="95"/>
        <v>#N/A</v>
      </c>
    </row>
    <row r="981" spans="33:37">
      <c r="AG981" s="41" t="str">
        <f t="shared" si="96"/>
        <v/>
      </c>
      <c r="AH981" t="str">
        <f t="shared" si="92"/>
        <v/>
      </c>
      <c r="AI981" t="e">
        <f t="shared" si="93"/>
        <v>#N/A</v>
      </c>
      <c r="AJ981" s="6" t="e">
        <f t="shared" si="94"/>
        <v>#N/A</v>
      </c>
      <c r="AK981" s="19" t="e">
        <f t="shared" si="95"/>
        <v>#N/A</v>
      </c>
    </row>
    <row r="982" spans="33:37">
      <c r="AG982" s="41" t="str">
        <f t="shared" si="96"/>
        <v/>
      </c>
      <c r="AH982" t="str">
        <f t="shared" si="92"/>
        <v/>
      </c>
      <c r="AI982" t="e">
        <f t="shared" si="93"/>
        <v>#N/A</v>
      </c>
      <c r="AJ982" s="6" t="e">
        <f t="shared" si="94"/>
        <v>#N/A</v>
      </c>
      <c r="AK982" s="19" t="e">
        <f t="shared" si="95"/>
        <v>#N/A</v>
      </c>
    </row>
    <row r="983" spans="33:37">
      <c r="AG983" s="41" t="str">
        <f t="shared" si="96"/>
        <v/>
      </c>
      <c r="AH983" t="str">
        <f t="shared" si="92"/>
        <v/>
      </c>
      <c r="AI983" t="e">
        <f t="shared" si="93"/>
        <v>#N/A</v>
      </c>
      <c r="AJ983" s="6" t="e">
        <f t="shared" si="94"/>
        <v>#N/A</v>
      </c>
      <c r="AK983" s="19" t="e">
        <f t="shared" si="95"/>
        <v>#N/A</v>
      </c>
    </row>
    <row r="984" spans="33:37">
      <c r="AG984" s="41" t="str">
        <f t="shared" si="96"/>
        <v/>
      </c>
      <c r="AH984" t="str">
        <f t="shared" si="92"/>
        <v/>
      </c>
      <c r="AI984" t="e">
        <f t="shared" si="93"/>
        <v>#N/A</v>
      </c>
      <c r="AJ984" s="6" t="e">
        <f t="shared" si="94"/>
        <v>#N/A</v>
      </c>
      <c r="AK984" s="19" t="e">
        <f t="shared" si="95"/>
        <v>#N/A</v>
      </c>
    </row>
    <row r="985" spans="33:37">
      <c r="AG985" s="41" t="str">
        <f t="shared" si="96"/>
        <v/>
      </c>
      <c r="AH985" t="str">
        <f t="shared" si="92"/>
        <v/>
      </c>
      <c r="AI985" t="e">
        <f t="shared" si="93"/>
        <v>#N/A</v>
      </c>
      <c r="AJ985" s="6" t="e">
        <f t="shared" si="94"/>
        <v>#N/A</v>
      </c>
      <c r="AK985" s="19" t="e">
        <f t="shared" si="95"/>
        <v>#N/A</v>
      </c>
    </row>
    <row r="986" spans="33:37">
      <c r="AG986" s="41" t="str">
        <f t="shared" si="96"/>
        <v/>
      </c>
      <c r="AH986" t="str">
        <f t="shared" si="92"/>
        <v/>
      </c>
      <c r="AI986" t="e">
        <f t="shared" si="93"/>
        <v>#N/A</v>
      </c>
      <c r="AJ986" s="6" t="e">
        <f t="shared" si="94"/>
        <v>#N/A</v>
      </c>
      <c r="AK986" s="19" t="e">
        <f t="shared" si="95"/>
        <v>#N/A</v>
      </c>
    </row>
    <row r="987" spans="33:37">
      <c r="AG987" s="41" t="str">
        <f t="shared" si="96"/>
        <v/>
      </c>
      <c r="AH987" t="str">
        <f t="shared" si="92"/>
        <v/>
      </c>
      <c r="AI987" t="e">
        <f t="shared" si="93"/>
        <v>#N/A</v>
      </c>
      <c r="AJ987" s="6" t="e">
        <f t="shared" si="94"/>
        <v>#N/A</v>
      </c>
      <c r="AK987" s="19" t="e">
        <f t="shared" si="95"/>
        <v>#N/A</v>
      </c>
    </row>
    <row r="988" spans="33:37">
      <c r="AG988" s="41" t="str">
        <f t="shared" si="96"/>
        <v/>
      </c>
      <c r="AH988" t="str">
        <f t="shared" si="92"/>
        <v/>
      </c>
      <c r="AI988" t="e">
        <f t="shared" si="93"/>
        <v>#N/A</v>
      </c>
      <c r="AJ988" s="6" t="e">
        <f t="shared" si="94"/>
        <v>#N/A</v>
      </c>
      <c r="AK988" s="19" t="e">
        <f t="shared" si="95"/>
        <v>#N/A</v>
      </c>
    </row>
    <row r="989" spans="33:37">
      <c r="AG989" s="41" t="str">
        <f t="shared" si="96"/>
        <v/>
      </c>
      <c r="AH989" t="str">
        <f t="shared" si="92"/>
        <v/>
      </c>
      <c r="AI989" t="e">
        <f t="shared" si="93"/>
        <v>#N/A</v>
      </c>
      <c r="AJ989" s="6" t="e">
        <f t="shared" si="94"/>
        <v>#N/A</v>
      </c>
      <c r="AK989" s="19" t="e">
        <f t="shared" si="95"/>
        <v>#N/A</v>
      </c>
    </row>
    <row r="990" spans="33:37">
      <c r="AG990" s="41" t="str">
        <f t="shared" si="96"/>
        <v/>
      </c>
      <c r="AH990" t="str">
        <f t="shared" si="92"/>
        <v/>
      </c>
      <c r="AI990" t="e">
        <f t="shared" si="93"/>
        <v>#N/A</v>
      </c>
      <c r="AJ990" s="6" t="e">
        <f t="shared" si="94"/>
        <v>#N/A</v>
      </c>
      <c r="AK990" s="19" t="e">
        <f t="shared" si="95"/>
        <v>#N/A</v>
      </c>
    </row>
    <row r="991" spans="33:37">
      <c r="AG991" s="41" t="str">
        <f t="shared" si="96"/>
        <v/>
      </c>
      <c r="AH991" t="str">
        <f t="shared" si="92"/>
        <v/>
      </c>
      <c r="AI991" t="e">
        <f t="shared" si="93"/>
        <v>#N/A</v>
      </c>
      <c r="AJ991" s="6" t="e">
        <f t="shared" si="94"/>
        <v>#N/A</v>
      </c>
      <c r="AK991" s="19" t="e">
        <f t="shared" si="95"/>
        <v>#N/A</v>
      </c>
    </row>
    <row r="992" spans="33:37">
      <c r="AG992" s="41" t="str">
        <f t="shared" si="96"/>
        <v/>
      </c>
      <c r="AH992" t="str">
        <f t="shared" si="92"/>
        <v/>
      </c>
      <c r="AI992" t="e">
        <f t="shared" si="93"/>
        <v>#N/A</v>
      </c>
      <c r="AJ992" s="6" t="e">
        <f t="shared" si="94"/>
        <v>#N/A</v>
      </c>
      <c r="AK992" s="19" t="e">
        <f t="shared" si="95"/>
        <v>#N/A</v>
      </c>
    </row>
    <row r="993" spans="33:37">
      <c r="AG993" s="41" t="str">
        <f t="shared" si="96"/>
        <v/>
      </c>
      <c r="AH993" t="str">
        <f t="shared" si="92"/>
        <v/>
      </c>
      <c r="AI993" t="e">
        <f t="shared" si="93"/>
        <v>#N/A</v>
      </c>
      <c r="AJ993" s="6" t="e">
        <f t="shared" si="94"/>
        <v>#N/A</v>
      </c>
      <c r="AK993" s="19" t="e">
        <f t="shared" si="95"/>
        <v>#N/A</v>
      </c>
    </row>
    <row r="994" spans="33:37">
      <c r="AG994" s="41" t="str">
        <f t="shared" si="96"/>
        <v/>
      </c>
      <c r="AH994" t="str">
        <f t="shared" si="92"/>
        <v/>
      </c>
      <c r="AI994" t="e">
        <f t="shared" si="93"/>
        <v>#N/A</v>
      </c>
      <c r="AJ994" s="6" t="e">
        <f t="shared" si="94"/>
        <v>#N/A</v>
      </c>
      <c r="AK994" s="19" t="e">
        <f t="shared" si="95"/>
        <v>#N/A</v>
      </c>
    </row>
    <row r="995" spans="33:37">
      <c r="AG995" s="41" t="str">
        <f t="shared" si="96"/>
        <v/>
      </c>
      <c r="AH995" t="str">
        <f t="shared" si="92"/>
        <v/>
      </c>
      <c r="AI995" t="e">
        <f t="shared" si="93"/>
        <v>#N/A</v>
      </c>
      <c r="AJ995" s="6" t="e">
        <f t="shared" si="94"/>
        <v>#N/A</v>
      </c>
      <c r="AK995" s="19" t="e">
        <f t="shared" si="95"/>
        <v>#N/A</v>
      </c>
    </row>
    <row r="996" spans="33:37">
      <c r="AG996" s="41" t="str">
        <f t="shared" si="96"/>
        <v/>
      </c>
      <c r="AH996" t="str">
        <f t="shared" si="92"/>
        <v/>
      </c>
      <c r="AI996" t="e">
        <f t="shared" si="93"/>
        <v>#N/A</v>
      </c>
      <c r="AJ996" s="6" t="e">
        <f t="shared" si="94"/>
        <v>#N/A</v>
      </c>
      <c r="AK996" s="19" t="e">
        <f t="shared" si="95"/>
        <v>#N/A</v>
      </c>
    </row>
    <row r="997" spans="33:37">
      <c r="AG997" s="41" t="str">
        <f t="shared" si="96"/>
        <v/>
      </c>
      <c r="AH997" t="str">
        <f t="shared" si="92"/>
        <v/>
      </c>
      <c r="AI997" t="e">
        <f t="shared" si="93"/>
        <v>#N/A</v>
      </c>
      <c r="AJ997" s="6" t="e">
        <f t="shared" si="94"/>
        <v>#N/A</v>
      </c>
      <c r="AK997" s="19" t="e">
        <f t="shared" si="95"/>
        <v>#N/A</v>
      </c>
    </row>
    <row r="998" spans="33:37">
      <c r="AG998" s="41" t="str">
        <f t="shared" si="96"/>
        <v/>
      </c>
      <c r="AH998" t="str">
        <f t="shared" si="92"/>
        <v/>
      </c>
      <c r="AI998" t="e">
        <f t="shared" si="93"/>
        <v>#N/A</v>
      </c>
      <c r="AJ998" s="6" t="e">
        <f t="shared" si="94"/>
        <v>#N/A</v>
      </c>
      <c r="AK998" s="19" t="e">
        <f t="shared" si="95"/>
        <v>#N/A</v>
      </c>
    </row>
    <row r="999" spans="33:37">
      <c r="AG999" s="41" t="str">
        <f t="shared" si="96"/>
        <v/>
      </c>
      <c r="AH999" t="str">
        <f t="shared" si="92"/>
        <v/>
      </c>
      <c r="AI999" t="e">
        <f t="shared" si="93"/>
        <v>#N/A</v>
      </c>
      <c r="AJ999" s="6" t="e">
        <f t="shared" si="94"/>
        <v>#N/A</v>
      </c>
      <c r="AK999" s="19" t="e">
        <f t="shared" si="95"/>
        <v>#N/A</v>
      </c>
    </row>
    <row r="1000" spans="33:37">
      <c r="AG1000" s="41" t="str">
        <f t="shared" si="96"/>
        <v/>
      </c>
      <c r="AH1000" t="str">
        <f t="shared" si="92"/>
        <v/>
      </c>
      <c r="AI1000" t="e">
        <f t="shared" si="93"/>
        <v>#N/A</v>
      </c>
      <c r="AJ1000" s="6" t="e">
        <f t="shared" si="94"/>
        <v>#N/A</v>
      </c>
      <c r="AK1000" s="19" t="e">
        <f t="shared" si="95"/>
        <v>#N/A</v>
      </c>
    </row>
    <row r="1001" spans="33:37">
      <c r="AG1001" s="41" t="str">
        <f t="shared" si="96"/>
        <v/>
      </c>
      <c r="AH1001" t="str">
        <f t="shared" si="92"/>
        <v/>
      </c>
      <c r="AI1001" t="e">
        <f t="shared" si="93"/>
        <v>#N/A</v>
      </c>
      <c r="AJ1001" s="6" t="e">
        <f t="shared" si="94"/>
        <v>#N/A</v>
      </c>
      <c r="AK1001" s="19" t="e">
        <f t="shared" si="95"/>
        <v>#N/A</v>
      </c>
    </row>
    <row r="1002" spans="33:37">
      <c r="AG1002" s="41" t="str">
        <f t="shared" si="96"/>
        <v/>
      </c>
      <c r="AH1002" t="str">
        <f t="shared" si="92"/>
        <v/>
      </c>
      <c r="AI1002" t="e">
        <f t="shared" si="93"/>
        <v>#N/A</v>
      </c>
      <c r="AJ1002" s="6" t="e">
        <f t="shared" si="94"/>
        <v>#N/A</v>
      </c>
      <c r="AK1002" s="19" t="e">
        <f t="shared" si="95"/>
        <v>#N/A</v>
      </c>
    </row>
    <row r="1003" spans="33:37">
      <c r="AG1003" s="41" t="str">
        <f t="shared" si="96"/>
        <v/>
      </c>
      <c r="AH1003" t="str">
        <f t="shared" si="92"/>
        <v/>
      </c>
      <c r="AI1003" t="e">
        <f t="shared" si="93"/>
        <v>#N/A</v>
      </c>
      <c r="AJ1003" s="6" t="e">
        <f t="shared" si="94"/>
        <v>#N/A</v>
      </c>
      <c r="AK1003" s="19" t="e">
        <f t="shared" si="95"/>
        <v>#N/A</v>
      </c>
    </row>
    <row r="1004" spans="33:37">
      <c r="AG1004" s="41" t="str">
        <f t="shared" si="96"/>
        <v/>
      </c>
      <c r="AH1004" t="str">
        <f t="shared" si="92"/>
        <v/>
      </c>
      <c r="AI1004" t="e">
        <f t="shared" si="93"/>
        <v>#N/A</v>
      </c>
      <c r="AJ1004" s="6" t="e">
        <f t="shared" si="94"/>
        <v>#N/A</v>
      </c>
      <c r="AK1004" s="19" t="e">
        <f t="shared" si="95"/>
        <v>#N/A</v>
      </c>
    </row>
    <row r="1005" spans="33:37">
      <c r="AG1005" s="41" t="str">
        <f t="shared" si="96"/>
        <v/>
      </c>
      <c r="AH1005" t="str">
        <f t="shared" si="92"/>
        <v/>
      </c>
      <c r="AI1005" t="e">
        <f t="shared" si="93"/>
        <v>#N/A</v>
      </c>
      <c r="AJ1005" s="6" t="e">
        <f t="shared" si="94"/>
        <v>#N/A</v>
      </c>
      <c r="AK1005" s="19" t="e">
        <f t="shared" si="95"/>
        <v>#N/A</v>
      </c>
    </row>
    <row r="1006" spans="33:37">
      <c r="AG1006" s="41" t="str">
        <f t="shared" si="96"/>
        <v/>
      </c>
      <c r="AH1006" t="str">
        <f t="shared" si="92"/>
        <v/>
      </c>
      <c r="AI1006" t="e">
        <f t="shared" si="93"/>
        <v>#N/A</v>
      </c>
      <c r="AJ1006" s="6" t="e">
        <f t="shared" si="94"/>
        <v>#N/A</v>
      </c>
      <c r="AK1006" s="19" t="e">
        <f t="shared" si="95"/>
        <v>#N/A</v>
      </c>
    </row>
    <row r="1007" spans="33:37">
      <c r="AG1007" s="41" t="str">
        <f t="shared" si="96"/>
        <v/>
      </c>
      <c r="AH1007" t="str">
        <f t="shared" si="92"/>
        <v/>
      </c>
      <c r="AI1007" t="e">
        <f t="shared" si="93"/>
        <v>#N/A</v>
      </c>
      <c r="AJ1007" s="6" t="e">
        <f t="shared" si="94"/>
        <v>#N/A</v>
      </c>
      <c r="AK1007" s="19" t="e">
        <f t="shared" si="95"/>
        <v>#N/A</v>
      </c>
    </row>
    <row r="1008" spans="33:37">
      <c r="AG1008" s="41" t="str">
        <f t="shared" si="96"/>
        <v/>
      </c>
      <c r="AH1008" t="str">
        <f t="shared" si="92"/>
        <v/>
      </c>
      <c r="AI1008" t="e">
        <f t="shared" si="93"/>
        <v>#N/A</v>
      </c>
      <c r="AJ1008" s="6" t="e">
        <f t="shared" si="94"/>
        <v>#N/A</v>
      </c>
      <c r="AK1008" s="19" t="e">
        <f t="shared" si="95"/>
        <v>#N/A</v>
      </c>
    </row>
    <row r="1009" spans="33:37">
      <c r="AG1009" s="41" t="str">
        <f t="shared" si="96"/>
        <v/>
      </c>
      <c r="AH1009" t="str">
        <f t="shared" si="92"/>
        <v/>
      </c>
      <c r="AI1009" t="e">
        <f t="shared" si="93"/>
        <v>#N/A</v>
      </c>
      <c r="AJ1009" s="6" t="e">
        <f t="shared" si="94"/>
        <v>#N/A</v>
      </c>
      <c r="AK1009" s="19" t="e">
        <f t="shared" si="95"/>
        <v>#N/A</v>
      </c>
    </row>
    <row r="1010" spans="33:37">
      <c r="AG1010" s="41" t="str">
        <f t="shared" si="96"/>
        <v/>
      </c>
      <c r="AH1010" t="str">
        <f t="shared" si="92"/>
        <v/>
      </c>
      <c r="AI1010" t="e">
        <f t="shared" si="93"/>
        <v>#N/A</v>
      </c>
      <c r="AJ1010" s="6" t="e">
        <f t="shared" si="94"/>
        <v>#N/A</v>
      </c>
      <c r="AK1010" s="19" t="e">
        <f t="shared" si="95"/>
        <v>#N/A</v>
      </c>
    </row>
    <row r="1011" spans="33:37">
      <c r="AG1011" s="41" t="str">
        <f t="shared" si="96"/>
        <v/>
      </c>
      <c r="AH1011" t="str">
        <f t="shared" si="92"/>
        <v/>
      </c>
      <c r="AI1011" t="e">
        <f t="shared" si="93"/>
        <v>#N/A</v>
      </c>
      <c r="AJ1011" s="6" t="e">
        <f t="shared" si="94"/>
        <v>#N/A</v>
      </c>
      <c r="AK1011" s="19" t="e">
        <f t="shared" si="95"/>
        <v>#N/A</v>
      </c>
    </row>
    <row r="1012" spans="33:37">
      <c r="AG1012" s="41" t="str">
        <f t="shared" si="96"/>
        <v/>
      </c>
      <c r="AH1012" t="str">
        <f t="shared" si="92"/>
        <v/>
      </c>
      <c r="AI1012" t="e">
        <f t="shared" si="93"/>
        <v>#N/A</v>
      </c>
      <c r="AJ1012" s="6" t="e">
        <f t="shared" si="94"/>
        <v>#N/A</v>
      </c>
      <c r="AK1012" s="19" t="e">
        <f t="shared" si="95"/>
        <v>#N/A</v>
      </c>
    </row>
    <row r="1013" spans="33:37">
      <c r="AG1013" s="41" t="str">
        <f t="shared" si="96"/>
        <v/>
      </c>
      <c r="AH1013" t="str">
        <f t="shared" si="92"/>
        <v/>
      </c>
      <c r="AI1013" t="e">
        <f t="shared" si="93"/>
        <v>#N/A</v>
      </c>
      <c r="AJ1013" s="6" t="e">
        <f t="shared" si="94"/>
        <v>#N/A</v>
      </c>
      <c r="AK1013" s="19" t="e">
        <f t="shared" si="95"/>
        <v>#N/A</v>
      </c>
    </row>
    <row r="1014" spans="33:37">
      <c r="AG1014" s="41" t="str">
        <f t="shared" si="96"/>
        <v/>
      </c>
      <c r="AH1014" t="str">
        <f t="shared" si="92"/>
        <v/>
      </c>
      <c r="AI1014" t="e">
        <f t="shared" si="93"/>
        <v>#N/A</v>
      </c>
      <c r="AJ1014" s="6" t="e">
        <f t="shared" si="94"/>
        <v>#N/A</v>
      </c>
      <c r="AK1014" s="19" t="e">
        <f t="shared" si="95"/>
        <v>#N/A</v>
      </c>
    </row>
    <row r="1015" spans="33:37">
      <c r="AG1015" s="41" t="str">
        <f t="shared" si="96"/>
        <v/>
      </c>
      <c r="AH1015" t="str">
        <f t="shared" si="92"/>
        <v/>
      </c>
      <c r="AI1015" t="e">
        <f t="shared" si="93"/>
        <v>#N/A</v>
      </c>
      <c r="AJ1015" s="6" t="e">
        <f t="shared" si="94"/>
        <v>#N/A</v>
      </c>
      <c r="AK1015" s="19" t="e">
        <f t="shared" si="95"/>
        <v>#N/A</v>
      </c>
    </row>
    <row r="1016" spans="33:37">
      <c r="AG1016" s="41" t="str">
        <f t="shared" si="96"/>
        <v/>
      </c>
      <c r="AH1016" t="str">
        <f t="shared" si="92"/>
        <v/>
      </c>
      <c r="AI1016" t="e">
        <f t="shared" si="93"/>
        <v>#N/A</v>
      </c>
      <c r="AJ1016" s="6" t="e">
        <f t="shared" si="94"/>
        <v>#N/A</v>
      </c>
      <c r="AK1016" s="19" t="e">
        <f t="shared" si="95"/>
        <v>#N/A</v>
      </c>
    </row>
    <row r="1017" spans="33:37">
      <c r="AG1017" s="41" t="str">
        <f t="shared" si="96"/>
        <v/>
      </c>
      <c r="AH1017" t="str">
        <f t="shared" ref="AH1017:AH1080" si="97">IF(AG1017&lt;&gt;"",MID($AE$4,AG1017,1),"")</f>
        <v/>
      </c>
      <c r="AI1017" t="e">
        <f t="shared" ref="AI1017:AI1080" si="98">IFERROR(VLOOKUP(AH1017,$AA$4:$AB$13,2,0),VLOOKUP(AH1017,$AC$4:$AD$13,2,0))</f>
        <v>#N/A</v>
      </c>
      <c r="AJ1017" s="6" t="e">
        <f t="shared" ref="AJ1017:AJ1080" si="99">IF(AND(AI1016="Rg",AI1018="Rg"),"2Rg",IF(AND(AI1016="Rg",AI1018="Fx"),"RgFx",IF(AND(AI1016="Fx",AI1018="Rg"),"RgFx",IF(AND(AI1016="Fx",AI1018="Fx"),"2Fx",""))))</f>
        <v>#N/A</v>
      </c>
      <c r="AK1017" s="19" t="e">
        <f t="shared" ref="AK1017:AK1080" si="100">IF(AJ1017&lt;&gt;"",VLOOKUP(AJ1017,mv,HLOOKUP(AH1017,mh,2,0),0),"")</f>
        <v>#N/A</v>
      </c>
    </row>
    <row r="1018" spans="33:37">
      <c r="AG1018" s="41" t="str">
        <f t="shared" si="96"/>
        <v/>
      </c>
      <c r="AH1018" t="str">
        <f t="shared" si="97"/>
        <v/>
      </c>
      <c r="AI1018" t="e">
        <f t="shared" si="98"/>
        <v>#N/A</v>
      </c>
      <c r="AJ1018" s="6" t="e">
        <f t="shared" si="99"/>
        <v>#N/A</v>
      </c>
      <c r="AK1018" s="19" t="e">
        <f t="shared" si="100"/>
        <v>#N/A</v>
      </c>
    </row>
    <row r="1019" spans="33:37">
      <c r="AG1019" s="41" t="str">
        <f t="shared" si="96"/>
        <v/>
      </c>
      <c r="AH1019" t="str">
        <f t="shared" si="97"/>
        <v/>
      </c>
      <c r="AI1019" t="e">
        <f t="shared" si="98"/>
        <v>#N/A</v>
      </c>
      <c r="AJ1019" s="6" t="e">
        <f t="shared" si="99"/>
        <v>#N/A</v>
      </c>
      <c r="AK1019" s="19" t="e">
        <f t="shared" si="100"/>
        <v>#N/A</v>
      </c>
    </row>
    <row r="1020" spans="33:37">
      <c r="AG1020" s="41" t="str">
        <f t="shared" si="96"/>
        <v/>
      </c>
      <c r="AH1020" t="str">
        <f t="shared" si="97"/>
        <v/>
      </c>
      <c r="AI1020" t="e">
        <f t="shared" si="98"/>
        <v>#N/A</v>
      </c>
      <c r="AJ1020" s="6" t="e">
        <f t="shared" si="99"/>
        <v>#N/A</v>
      </c>
      <c r="AK1020" s="19" t="e">
        <f t="shared" si="100"/>
        <v>#N/A</v>
      </c>
    </row>
    <row r="1021" spans="33:37">
      <c r="AG1021" s="41" t="str">
        <f t="shared" si="96"/>
        <v/>
      </c>
      <c r="AH1021" t="str">
        <f t="shared" si="97"/>
        <v/>
      </c>
      <c r="AI1021" t="e">
        <f t="shared" si="98"/>
        <v>#N/A</v>
      </c>
      <c r="AJ1021" s="6" t="e">
        <f t="shared" si="99"/>
        <v>#N/A</v>
      </c>
      <c r="AK1021" s="19" t="e">
        <f t="shared" si="100"/>
        <v>#N/A</v>
      </c>
    </row>
    <row r="1022" spans="33:37">
      <c r="AG1022" s="41" t="str">
        <f t="shared" si="96"/>
        <v/>
      </c>
      <c r="AH1022" t="str">
        <f t="shared" si="97"/>
        <v/>
      </c>
      <c r="AI1022" t="e">
        <f t="shared" si="98"/>
        <v>#N/A</v>
      </c>
      <c r="AJ1022" s="6" t="e">
        <f t="shared" si="99"/>
        <v>#N/A</v>
      </c>
      <c r="AK1022" s="19" t="e">
        <f t="shared" si="100"/>
        <v>#N/A</v>
      </c>
    </row>
    <row r="1023" spans="33:37">
      <c r="AG1023" s="41" t="str">
        <f t="shared" si="96"/>
        <v/>
      </c>
      <c r="AH1023" t="str">
        <f t="shared" si="97"/>
        <v/>
      </c>
      <c r="AI1023" t="e">
        <f t="shared" si="98"/>
        <v>#N/A</v>
      </c>
      <c r="AJ1023" s="6" t="e">
        <f t="shared" si="99"/>
        <v>#N/A</v>
      </c>
      <c r="AK1023" s="19" t="e">
        <f t="shared" si="100"/>
        <v>#N/A</v>
      </c>
    </row>
    <row r="1024" spans="33:37">
      <c r="AG1024" s="41" t="str">
        <f t="shared" si="96"/>
        <v/>
      </c>
      <c r="AH1024" t="str">
        <f t="shared" si="97"/>
        <v/>
      </c>
      <c r="AI1024" t="e">
        <f t="shared" si="98"/>
        <v>#N/A</v>
      </c>
      <c r="AJ1024" s="6" t="e">
        <f t="shared" si="99"/>
        <v>#N/A</v>
      </c>
      <c r="AK1024" s="19" t="e">
        <f t="shared" si="100"/>
        <v>#N/A</v>
      </c>
    </row>
    <row r="1025" spans="33:37">
      <c r="AG1025" s="41" t="str">
        <f t="shared" si="96"/>
        <v/>
      </c>
      <c r="AH1025" t="str">
        <f t="shared" si="97"/>
        <v/>
      </c>
      <c r="AI1025" t="e">
        <f t="shared" si="98"/>
        <v>#N/A</v>
      </c>
      <c r="AJ1025" s="6" t="e">
        <f t="shared" si="99"/>
        <v>#N/A</v>
      </c>
      <c r="AK1025" s="19" t="e">
        <f t="shared" si="100"/>
        <v>#N/A</v>
      </c>
    </row>
    <row r="1026" spans="33:37">
      <c r="AG1026" s="41" t="str">
        <f t="shared" si="96"/>
        <v/>
      </c>
      <c r="AH1026" t="str">
        <f t="shared" si="97"/>
        <v/>
      </c>
      <c r="AI1026" t="e">
        <f t="shared" si="98"/>
        <v>#N/A</v>
      </c>
      <c r="AJ1026" s="6" t="e">
        <f t="shared" si="99"/>
        <v>#N/A</v>
      </c>
      <c r="AK1026" s="19" t="e">
        <f t="shared" si="100"/>
        <v>#N/A</v>
      </c>
    </row>
    <row r="1027" spans="33:37">
      <c r="AG1027" s="41" t="str">
        <f t="shared" si="96"/>
        <v/>
      </c>
      <c r="AH1027" t="str">
        <f t="shared" si="97"/>
        <v/>
      </c>
      <c r="AI1027" t="e">
        <f t="shared" si="98"/>
        <v>#N/A</v>
      </c>
      <c r="AJ1027" s="6" t="e">
        <f t="shared" si="99"/>
        <v>#N/A</v>
      </c>
      <c r="AK1027" s="19" t="e">
        <f t="shared" si="100"/>
        <v>#N/A</v>
      </c>
    </row>
    <row r="1028" spans="33:37">
      <c r="AG1028" s="41" t="str">
        <f t="shared" si="96"/>
        <v/>
      </c>
      <c r="AH1028" t="str">
        <f t="shared" si="97"/>
        <v/>
      </c>
      <c r="AI1028" t="e">
        <f t="shared" si="98"/>
        <v>#N/A</v>
      </c>
      <c r="AJ1028" s="6" t="e">
        <f t="shared" si="99"/>
        <v>#N/A</v>
      </c>
      <c r="AK1028" s="19" t="e">
        <f t="shared" si="100"/>
        <v>#N/A</v>
      </c>
    </row>
    <row r="1029" spans="33:37">
      <c r="AG1029" s="41" t="str">
        <f t="shared" ref="AG1029:AG1092" si="101">IF(AG1028&lt;$AF$4,AG1028+1,"")</f>
        <v/>
      </c>
      <c r="AH1029" t="str">
        <f t="shared" si="97"/>
        <v/>
      </c>
      <c r="AI1029" t="e">
        <f t="shared" si="98"/>
        <v>#N/A</v>
      </c>
      <c r="AJ1029" s="6" t="e">
        <f t="shared" si="99"/>
        <v>#N/A</v>
      </c>
      <c r="AK1029" s="19" t="e">
        <f t="shared" si="100"/>
        <v>#N/A</v>
      </c>
    </row>
    <row r="1030" spans="33:37">
      <c r="AG1030" s="41" t="str">
        <f t="shared" si="101"/>
        <v/>
      </c>
      <c r="AH1030" t="str">
        <f t="shared" si="97"/>
        <v/>
      </c>
      <c r="AI1030" t="e">
        <f t="shared" si="98"/>
        <v>#N/A</v>
      </c>
      <c r="AJ1030" s="6" t="e">
        <f t="shared" si="99"/>
        <v>#N/A</v>
      </c>
      <c r="AK1030" s="19" t="e">
        <f t="shared" si="100"/>
        <v>#N/A</v>
      </c>
    </row>
    <row r="1031" spans="33:37">
      <c r="AG1031" s="41" t="str">
        <f t="shared" si="101"/>
        <v/>
      </c>
      <c r="AH1031" t="str">
        <f t="shared" si="97"/>
        <v/>
      </c>
      <c r="AI1031" t="e">
        <f t="shared" si="98"/>
        <v>#N/A</v>
      </c>
      <c r="AJ1031" s="6" t="e">
        <f t="shared" si="99"/>
        <v>#N/A</v>
      </c>
      <c r="AK1031" s="19" t="e">
        <f t="shared" si="100"/>
        <v>#N/A</v>
      </c>
    </row>
    <row r="1032" spans="33:37">
      <c r="AG1032" s="41" t="str">
        <f t="shared" si="101"/>
        <v/>
      </c>
      <c r="AH1032" t="str">
        <f t="shared" si="97"/>
        <v/>
      </c>
      <c r="AI1032" t="e">
        <f t="shared" si="98"/>
        <v>#N/A</v>
      </c>
      <c r="AJ1032" s="6" t="e">
        <f t="shared" si="99"/>
        <v>#N/A</v>
      </c>
      <c r="AK1032" s="19" t="e">
        <f t="shared" si="100"/>
        <v>#N/A</v>
      </c>
    </row>
    <row r="1033" spans="33:37">
      <c r="AG1033" s="41" t="str">
        <f t="shared" si="101"/>
        <v/>
      </c>
      <c r="AH1033" t="str">
        <f t="shared" si="97"/>
        <v/>
      </c>
      <c r="AI1033" t="e">
        <f t="shared" si="98"/>
        <v>#N/A</v>
      </c>
      <c r="AJ1033" s="6" t="e">
        <f t="shared" si="99"/>
        <v>#N/A</v>
      </c>
      <c r="AK1033" s="19" t="e">
        <f t="shared" si="100"/>
        <v>#N/A</v>
      </c>
    </row>
    <row r="1034" spans="33:37">
      <c r="AG1034" s="41" t="str">
        <f t="shared" si="101"/>
        <v/>
      </c>
      <c r="AH1034" t="str">
        <f t="shared" si="97"/>
        <v/>
      </c>
      <c r="AI1034" t="e">
        <f t="shared" si="98"/>
        <v>#N/A</v>
      </c>
      <c r="AJ1034" s="6" t="e">
        <f t="shared" si="99"/>
        <v>#N/A</v>
      </c>
      <c r="AK1034" s="19" t="e">
        <f t="shared" si="100"/>
        <v>#N/A</v>
      </c>
    </row>
    <row r="1035" spans="33:37">
      <c r="AG1035" s="41" t="str">
        <f t="shared" si="101"/>
        <v/>
      </c>
      <c r="AH1035" t="str">
        <f t="shared" si="97"/>
        <v/>
      </c>
      <c r="AI1035" t="e">
        <f t="shared" si="98"/>
        <v>#N/A</v>
      </c>
      <c r="AJ1035" s="6" t="e">
        <f t="shared" si="99"/>
        <v>#N/A</v>
      </c>
      <c r="AK1035" s="19" t="e">
        <f t="shared" si="100"/>
        <v>#N/A</v>
      </c>
    </row>
    <row r="1036" spans="33:37">
      <c r="AG1036" s="41" t="str">
        <f t="shared" si="101"/>
        <v/>
      </c>
      <c r="AH1036" t="str">
        <f t="shared" si="97"/>
        <v/>
      </c>
      <c r="AI1036" t="e">
        <f t="shared" si="98"/>
        <v>#N/A</v>
      </c>
      <c r="AJ1036" s="6" t="e">
        <f t="shared" si="99"/>
        <v>#N/A</v>
      </c>
      <c r="AK1036" s="19" t="e">
        <f t="shared" si="100"/>
        <v>#N/A</v>
      </c>
    </row>
    <row r="1037" spans="33:37">
      <c r="AG1037" s="41" t="str">
        <f t="shared" si="101"/>
        <v/>
      </c>
      <c r="AH1037" t="str">
        <f t="shared" si="97"/>
        <v/>
      </c>
      <c r="AI1037" t="e">
        <f t="shared" si="98"/>
        <v>#N/A</v>
      </c>
      <c r="AJ1037" s="6" t="e">
        <f t="shared" si="99"/>
        <v>#N/A</v>
      </c>
      <c r="AK1037" s="19" t="e">
        <f t="shared" si="100"/>
        <v>#N/A</v>
      </c>
    </row>
    <row r="1038" spans="33:37">
      <c r="AG1038" s="41" t="str">
        <f t="shared" si="101"/>
        <v/>
      </c>
      <c r="AH1038" t="str">
        <f t="shared" si="97"/>
        <v/>
      </c>
      <c r="AI1038" t="e">
        <f t="shared" si="98"/>
        <v>#N/A</v>
      </c>
      <c r="AJ1038" s="6" t="e">
        <f t="shared" si="99"/>
        <v>#N/A</v>
      </c>
      <c r="AK1038" s="19" t="e">
        <f t="shared" si="100"/>
        <v>#N/A</v>
      </c>
    </row>
    <row r="1039" spans="33:37">
      <c r="AG1039" s="41" t="str">
        <f t="shared" si="101"/>
        <v/>
      </c>
      <c r="AH1039" t="str">
        <f t="shared" si="97"/>
        <v/>
      </c>
      <c r="AI1039" t="e">
        <f t="shared" si="98"/>
        <v>#N/A</v>
      </c>
      <c r="AJ1039" s="6" t="e">
        <f t="shared" si="99"/>
        <v>#N/A</v>
      </c>
      <c r="AK1039" s="19" t="e">
        <f t="shared" si="100"/>
        <v>#N/A</v>
      </c>
    </row>
    <row r="1040" spans="33:37">
      <c r="AG1040" s="41" t="str">
        <f t="shared" si="101"/>
        <v/>
      </c>
      <c r="AH1040" t="str">
        <f t="shared" si="97"/>
        <v/>
      </c>
      <c r="AI1040" t="e">
        <f t="shared" si="98"/>
        <v>#N/A</v>
      </c>
      <c r="AJ1040" s="6" t="e">
        <f t="shared" si="99"/>
        <v>#N/A</v>
      </c>
      <c r="AK1040" s="19" t="e">
        <f t="shared" si="100"/>
        <v>#N/A</v>
      </c>
    </row>
    <row r="1041" spans="33:37">
      <c r="AG1041" s="41" t="str">
        <f t="shared" si="101"/>
        <v/>
      </c>
      <c r="AH1041" t="str">
        <f t="shared" si="97"/>
        <v/>
      </c>
      <c r="AI1041" t="e">
        <f t="shared" si="98"/>
        <v>#N/A</v>
      </c>
      <c r="AJ1041" s="6" t="e">
        <f t="shared" si="99"/>
        <v>#N/A</v>
      </c>
      <c r="AK1041" s="19" t="e">
        <f t="shared" si="100"/>
        <v>#N/A</v>
      </c>
    </row>
    <row r="1042" spans="33:37">
      <c r="AG1042" s="41" t="str">
        <f t="shared" si="101"/>
        <v/>
      </c>
      <c r="AH1042" t="str">
        <f t="shared" si="97"/>
        <v/>
      </c>
      <c r="AI1042" t="e">
        <f t="shared" si="98"/>
        <v>#N/A</v>
      </c>
      <c r="AJ1042" s="6" t="e">
        <f t="shared" si="99"/>
        <v>#N/A</v>
      </c>
      <c r="AK1042" s="19" t="e">
        <f t="shared" si="100"/>
        <v>#N/A</v>
      </c>
    </row>
    <row r="1043" spans="33:37">
      <c r="AG1043" s="41" t="str">
        <f t="shared" si="101"/>
        <v/>
      </c>
      <c r="AH1043" t="str">
        <f t="shared" si="97"/>
        <v/>
      </c>
      <c r="AI1043" t="e">
        <f t="shared" si="98"/>
        <v>#N/A</v>
      </c>
      <c r="AJ1043" s="6" t="e">
        <f t="shared" si="99"/>
        <v>#N/A</v>
      </c>
      <c r="AK1043" s="19" t="e">
        <f t="shared" si="100"/>
        <v>#N/A</v>
      </c>
    </row>
    <row r="1044" spans="33:37">
      <c r="AG1044" s="41" t="str">
        <f t="shared" si="101"/>
        <v/>
      </c>
      <c r="AH1044" t="str">
        <f t="shared" si="97"/>
        <v/>
      </c>
      <c r="AI1044" t="e">
        <f t="shared" si="98"/>
        <v>#N/A</v>
      </c>
      <c r="AJ1044" s="6" t="e">
        <f t="shared" si="99"/>
        <v>#N/A</v>
      </c>
      <c r="AK1044" s="19" t="e">
        <f t="shared" si="100"/>
        <v>#N/A</v>
      </c>
    </row>
    <row r="1045" spans="33:37">
      <c r="AG1045" s="41" t="str">
        <f t="shared" si="101"/>
        <v/>
      </c>
      <c r="AH1045" t="str">
        <f t="shared" si="97"/>
        <v/>
      </c>
      <c r="AI1045" t="e">
        <f t="shared" si="98"/>
        <v>#N/A</v>
      </c>
      <c r="AJ1045" s="6" t="e">
        <f t="shared" si="99"/>
        <v>#N/A</v>
      </c>
      <c r="AK1045" s="19" t="e">
        <f t="shared" si="100"/>
        <v>#N/A</v>
      </c>
    </row>
    <row r="1046" spans="33:37">
      <c r="AG1046" s="41" t="str">
        <f t="shared" si="101"/>
        <v/>
      </c>
      <c r="AH1046" t="str">
        <f t="shared" si="97"/>
        <v/>
      </c>
      <c r="AI1046" t="e">
        <f t="shared" si="98"/>
        <v>#N/A</v>
      </c>
      <c r="AJ1046" s="6" t="e">
        <f t="shared" si="99"/>
        <v>#N/A</v>
      </c>
      <c r="AK1046" s="19" t="e">
        <f t="shared" si="100"/>
        <v>#N/A</v>
      </c>
    </row>
    <row r="1047" spans="33:37">
      <c r="AG1047" s="41" t="str">
        <f t="shared" si="101"/>
        <v/>
      </c>
      <c r="AH1047" t="str">
        <f t="shared" si="97"/>
        <v/>
      </c>
      <c r="AI1047" t="e">
        <f t="shared" si="98"/>
        <v>#N/A</v>
      </c>
      <c r="AJ1047" s="6" t="e">
        <f t="shared" si="99"/>
        <v>#N/A</v>
      </c>
      <c r="AK1047" s="19" t="e">
        <f t="shared" si="100"/>
        <v>#N/A</v>
      </c>
    </row>
    <row r="1048" spans="33:37">
      <c r="AG1048" s="41" t="str">
        <f t="shared" si="101"/>
        <v/>
      </c>
      <c r="AH1048" t="str">
        <f t="shared" si="97"/>
        <v/>
      </c>
      <c r="AI1048" t="e">
        <f t="shared" si="98"/>
        <v>#N/A</v>
      </c>
      <c r="AJ1048" s="6" t="e">
        <f t="shared" si="99"/>
        <v>#N/A</v>
      </c>
      <c r="AK1048" s="19" t="e">
        <f t="shared" si="100"/>
        <v>#N/A</v>
      </c>
    </row>
    <row r="1049" spans="33:37">
      <c r="AG1049" s="41" t="str">
        <f t="shared" si="101"/>
        <v/>
      </c>
      <c r="AH1049" t="str">
        <f t="shared" si="97"/>
        <v/>
      </c>
      <c r="AI1049" t="e">
        <f t="shared" si="98"/>
        <v>#N/A</v>
      </c>
      <c r="AJ1049" s="6" t="e">
        <f t="shared" si="99"/>
        <v>#N/A</v>
      </c>
      <c r="AK1049" s="19" t="e">
        <f t="shared" si="100"/>
        <v>#N/A</v>
      </c>
    </row>
    <row r="1050" spans="33:37">
      <c r="AG1050" s="41" t="str">
        <f t="shared" si="101"/>
        <v/>
      </c>
      <c r="AH1050" t="str">
        <f t="shared" si="97"/>
        <v/>
      </c>
      <c r="AI1050" t="e">
        <f t="shared" si="98"/>
        <v>#N/A</v>
      </c>
      <c r="AJ1050" s="6" t="e">
        <f t="shared" si="99"/>
        <v>#N/A</v>
      </c>
      <c r="AK1050" s="19" t="e">
        <f t="shared" si="100"/>
        <v>#N/A</v>
      </c>
    </row>
    <row r="1051" spans="33:37">
      <c r="AG1051" s="41" t="str">
        <f t="shared" si="101"/>
        <v/>
      </c>
      <c r="AH1051" t="str">
        <f t="shared" si="97"/>
        <v/>
      </c>
      <c r="AI1051" t="e">
        <f t="shared" si="98"/>
        <v>#N/A</v>
      </c>
      <c r="AJ1051" s="6" t="e">
        <f t="shared" si="99"/>
        <v>#N/A</v>
      </c>
      <c r="AK1051" s="19" t="e">
        <f t="shared" si="100"/>
        <v>#N/A</v>
      </c>
    </row>
    <row r="1052" spans="33:37">
      <c r="AG1052" s="41" t="str">
        <f t="shared" si="101"/>
        <v/>
      </c>
      <c r="AH1052" t="str">
        <f t="shared" si="97"/>
        <v/>
      </c>
      <c r="AI1052" t="e">
        <f t="shared" si="98"/>
        <v>#N/A</v>
      </c>
      <c r="AJ1052" s="6" t="e">
        <f t="shared" si="99"/>
        <v>#N/A</v>
      </c>
      <c r="AK1052" s="19" t="e">
        <f t="shared" si="100"/>
        <v>#N/A</v>
      </c>
    </row>
    <row r="1053" spans="33:37">
      <c r="AG1053" s="41" t="str">
        <f t="shared" si="101"/>
        <v/>
      </c>
      <c r="AH1053" t="str">
        <f t="shared" si="97"/>
        <v/>
      </c>
      <c r="AI1053" t="e">
        <f t="shared" si="98"/>
        <v>#N/A</v>
      </c>
      <c r="AJ1053" s="6" t="e">
        <f t="shared" si="99"/>
        <v>#N/A</v>
      </c>
      <c r="AK1053" s="19" t="e">
        <f t="shared" si="100"/>
        <v>#N/A</v>
      </c>
    </row>
    <row r="1054" spans="33:37">
      <c r="AG1054" s="41" t="str">
        <f t="shared" si="101"/>
        <v/>
      </c>
      <c r="AH1054" t="str">
        <f t="shared" si="97"/>
        <v/>
      </c>
      <c r="AI1054" t="e">
        <f t="shared" si="98"/>
        <v>#N/A</v>
      </c>
      <c r="AJ1054" s="6" t="e">
        <f t="shared" si="99"/>
        <v>#N/A</v>
      </c>
      <c r="AK1054" s="19" t="e">
        <f t="shared" si="100"/>
        <v>#N/A</v>
      </c>
    </row>
    <row r="1055" spans="33:37">
      <c r="AG1055" s="41" t="str">
        <f t="shared" si="101"/>
        <v/>
      </c>
      <c r="AH1055" t="str">
        <f t="shared" si="97"/>
        <v/>
      </c>
      <c r="AI1055" t="e">
        <f t="shared" si="98"/>
        <v>#N/A</v>
      </c>
      <c r="AJ1055" s="6" t="e">
        <f t="shared" si="99"/>
        <v>#N/A</v>
      </c>
      <c r="AK1055" s="19" t="e">
        <f t="shared" si="100"/>
        <v>#N/A</v>
      </c>
    </row>
    <row r="1056" spans="33:37">
      <c r="AG1056" s="41" t="str">
        <f t="shared" si="101"/>
        <v/>
      </c>
      <c r="AH1056" t="str">
        <f t="shared" si="97"/>
        <v/>
      </c>
      <c r="AI1056" t="e">
        <f t="shared" si="98"/>
        <v>#N/A</v>
      </c>
      <c r="AJ1056" s="6" t="e">
        <f t="shared" si="99"/>
        <v>#N/A</v>
      </c>
      <c r="AK1056" s="19" t="e">
        <f t="shared" si="100"/>
        <v>#N/A</v>
      </c>
    </row>
    <row r="1057" spans="31:37">
      <c r="AG1057" s="41" t="str">
        <f t="shared" si="101"/>
        <v/>
      </c>
      <c r="AH1057" t="str">
        <f t="shared" si="97"/>
        <v/>
      </c>
      <c r="AI1057" t="e">
        <f t="shared" si="98"/>
        <v>#N/A</v>
      </c>
      <c r="AJ1057" s="6" t="e">
        <f t="shared" si="99"/>
        <v>#N/A</v>
      </c>
      <c r="AK1057" s="19" t="e">
        <f t="shared" si="100"/>
        <v>#N/A</v>
      </c>
    </row>
    <row r="1058" spans="31:37">
      <c r="AG1058" s="41" t="str">
        <f t="shared" si="101"/>
        <v/>
      </c>
      <c r="AH1058" t="str">
        <f t="shared" si="97"/>
        <v/>
      </c>
      <c r="AI1058" t="e">
        <f t="shared" si="98"/>
        <v>#N/A</v>
      </c>
      <c r="AJ1058" s="6" t="e">
        <f t="shared" si="99"/>
        <v>#N/A</v>
      </c>
      <c r="AK1058" s="19" t="e">
        <f t="shared" si="100"/>
        <v>#N/A</v>
      </c>
    </row>
    <row r="1059" spans="31:37">
      <c r="AG1059" s="41" t="str">
        <f t="shared" si="101"/>
        <v/>
      </c>
      <c r="AH1059" t="str">
        <f t="shared" si="97"/>
        <v/>
      </c>
      <c r="AI1059" t="e">
        <f t="shared" si="98"/>
        <v>#N/A</v>
      </c>
      <c r="AJ1059" s="6" t="e">
        <f t="shared" si="99"/>
        <v>#N/A</v>
      </c>
      <c r="AK1059" s="19" t="e">
        <f t="shared" si="100"/>
        <v>#N/A</v>
      </c>
    </row>
    <row r="1060" spans="31:37">
      <c r="AE1060">
        <v>-0.73699999999999999</v>
      </c>
      <c r="AG1060" s="41" t="str">
        <f t="shared" si="101"/>
        <v/>
      </c>
      <c r="AH1060" t="str">
        <f t="shared" si="97"/>
        <v/>
      </c>
      <c r="AI1060" t="e">
        <f t="shared" si="98"/>
        <v>#N/A</v>
      </c>
      <c r="AJ1060" s="6" t="e">
        <f t="shared" si="99"/>
        <v>#N/A</v>
      </c>
      <c r="AK1060" s="19" t="e">
        <f t="shared" si="100"/>
        <v>#N/A</v>
      </c>
    </row>
    <row r="1061" spans="31:37">
      <c r="AE1061">
        <v>-0.70699999999999996</v>
      </c>
      <c r="AG1061" s="41" t="str">
        <f t="shared" si="101"/>
        <v/>
      </c>
      <c r="AH1061" t="str">
        <f t="shared" si="97"/>
        <v/>
      </c>
      <c r="AI1061" t="e">
        <f t="shared" si="98"/>
        <v>#N/A</v>
      </c>
      <c r="AJ1061" s="6" t="e">
        <f t="shared" si="99"/>
        <v>#N/A</v>
      </c>
      <c r="AK1061" s="19" t="e">
        <f t="shared" si="100"/>
        <v>#N/A</v>
      </c>
    </row>
    <row r="1062" spans="31:37">
      <c r="AE1062">
        <v>-0.501</v>
      </c>
      <c r="AG1062" s="41" t="str">
        <f t="shared" si="101"/>
        <v/>
      </c>
      <c r="AH1062" t="str">
        <f t="shared" si="97"/>
        <v/>
      </c>
      <c r="AI1062" t="e">
        <f t="shared" si="98"/>
        <v>#N/A</v>
      </c>
      <c r="AJ1062" s="6" t="e">
        <f t="shared" si="99"/>
        <v>#N/A</v>
      </c>
      <c r="AK1062" s="19" t="e">
        <f t="shared" si="100"/>
        <v>#N/A</v>
      </c>
    </row>
    <row r="1063" spans="31:37">
      <c r="AE1063">
        <v>-0.63800000000000001</v>
      </c>
      <c r="AG1063" s="41" t="str">
        <f t="shared" si="101"/>
        <v/>
      </c>
      <c r="AH1063" t="str">
        <f t="shared" si="97"/>
        <v/>
      </c>
      <c r="AI1063" t="e">
        <f t="shared" si="98"/>
        <v>#N/A</v>
      </c>
      <c r="AJ1063" s="6" t="e">
        <f t="shared" si="99"/>
        <v>#N/A</v>
      </c>
      <c r="AK1063" s="19" t="e">
        <f t="shared" si="100"/>
        <v>#N/A</v>
      </c>
    </row>
    <row r="1064" spans="31:37">
      <c r="AE1064">
        <v>-0.64200000000000002</v>
      </c>
      <c r="AG1064" s="41" t="str">
        <f t="shared" si="101"/>
        <v/>
      </c>
      <c r="AH1064" t="str">
        <f t="shared" si="97"/>
        <v/>
      </c>
      <c r="AI1064" t="e">
        <f t="shared" si="98"/>
        <v>#N/A</v>
      </c>
      <c r="AJ1064" s="6" t="e">
        <f t="shared" si="99"/>
        <v>#N/A</v>
      </c>
      <c r="AK1064" s="19" t="e">
        <f t="shared" si="100"/>
        <v>#N/A</v>
      </c>
    </row>
    <row r="1065" spans="31:37">
      <c r="AE1065">
        <v>-0.86499999999999999</v>
      </c>
      <c r="AG1065" s="41" t="str">
        <f t="shared" si="101"/>
        <v/>
      </c>
      <c r="AH1065" t="str">
        <f t="shared" si="97"/>
        <v/>
      </c>
      <c r="AI1065" t="e">
        <f t="shared" si="98"/>
        <v>#N/A</v>
      </c>
      <c r="AJ1065" s="6" t="e">
        <f t="shared" si="99"/>
        <v>#N/A</v>
      </c>
      <c r="AK1065" s="19" t="e">
        <f t="shared" si="100"/>
        <v>#N/A</v>
      </c>
    </row>
    <row r="1066" spans="31:37">
      <c r="AE1066">
        <v>-0.87</v>
      </c>
      <c r="AG1066" s="41" t="str">
        <f t="shared" si="101"/>
        <v/>
      </c>
      <c r="AH1066" t="str">
        <f t="shared" si="97"/>
        <v/>
      </c>
      <c r="AI1066" t="e">
        <f t="shared" si="98"/>
        <v>#N/A</v>
      </c>
      <c r="AJ1066" s="6" t="e">
        <f t="shared" si="99"/>
        <v>#N/A</v>
      </c>
      <c r="AK1066" s="19" t="e">
        <f t="shared" si="100"/>
        <v>#N/A</v>
      </c>
    </row>
    <row r="1067" spans="31:37">
      <c r="AE1067">
        <v>-0.88900000000000001</v>
      </c>
      <c r="AG1067" s="41" t="str">
        <f t="shared" si="101"/>
        <v/>
      </c>
      <c r="AH1067" t="str">
        <f t="shared" si="97"/>
        <v/>
      </c>
      <c r="AI1067" t="e">
        <f t="shared" si="98"/>
        <v>#N/A</v>
      </c>
      <c r="AJ1067" s="6" t="e">
        <f t="shared" si="99"/>
        <v>#N/A</v>
      </c>
      <c r="AK1067" s="19" t="e">
        <f t="shared" si="100"/>
        <v>#N/A</v>
      </c>
    </row>
    <row r="1068" spans="31:37">
      <c r="AE1068">
        <v>-0.73699999999999999</v>
      </c>
      <c r="AG1068" s="41" t="str">
        <f t="shared" si="101"/>
        <v/>
      </c>
      <c r="AH1068" t="str">
        <f t="shared" si="97"/>
        <v/>
      </c>
      <c r="AI1068" t="e">
        <f t="shared" si="98"/>
        <v>#N/A</v>
      </c>
      <c r="AJ1068" s="6" t="e">
        <f t="shared" si="99"/>
        <v>#N/A</v>
      </c>
      <c r="AK1068" s="19" t="e">
        <f t="shared" si="100"/>
        <v>#N/A</v>
      </c>
    </row>
    <row r="1069" spans="31:37">
      <c r="AE1069">
        <v>-0.70699999999999996</v>
      </c>
      <c r="AG1069" s="41" t="str">
        <f t="shared" si="101"/>
        <v/>
      </c>
      <c r="AH1069" t="str">
        <f t="shared" si="97"/>
        <v/>
      </c>
      <c r="AI1069" t="e">
        <f t="shared" si="98"/>
        <v>#N/A</v>
      </c>
      <c r="AJ1069" s="6" t="e">
        <f t="shared" si="99"/>
        <v>#N/A</v>
      </c>
      <c r="AK1069" s="19" t="e">
        <f t="shared" si="100"/>
        <v>#N/A</v>
      </c>
    </row>
    <row r="1070" spans="31:37">
      <c r="AE1070">
        <v>-0.501</v>
      </c>
      <c r="AG1070" s="41" t="str">
        <f t="shared" si="101"/>
        <v/>
      </c>
      <c r="AH1070" t="str">
        <f t="shared" si="97"/>
        <v/>
      </c>
      <c r="AI1070" t="e">
        <f t="shared" si="98"/>
        <v>#N/A</v>
      </c>
      <c r="AJ1070" s="6" t="e">
        <f t="shared" si="99"/>
        <v>#N/A</v>
      </c>
      <c r="AK1070" s="19" t="e">
        <f t="shared" si="100"/>
        <v>#N/A</v>
      </c>
    </row>
    <row r="1071" spans="31:37">
      <c r="AE1071">
        <v>-0.39800000000000002</v>
      </c>
      <c r="AG1071" s="41" t="str">
        <f t="shared" si="101"/>
        <v/>
      </c>
      <c r="AH1071" t="str">
        <f t="shared" si="97"/>
        <v/>
      </c>
      <c r="AI1071" t="e">
        <f t="shared" si="98"/>
        <v>#N/A</v>
      </c>
      <c r="AJ1071" s="6" t="e">
        <f t="shared" si="99"/>
        <v>#N/A</v>
      </c>
      <c r="AK1071" s="19" t="e">
        <f t="shared" si="100"/>
        <v>#N/A</v>
      </c>
    </row>
    <row r="1072" spans="31:37">
      <c r="AE1072">
        <v>0.17599999999999999</v>
      </c>
      <c r="AG1072" s="41" t="str">
        <f t="shared" si="101"/>
        <v/>
      </c>
      <c r="AH1072" t="str">
        <f t="shared" si="97"/>
        <v/>
      </c>
      <c r="AI1072" t="e">
        <f t="shared" si="98"/>
        <v>#N/A</v>
      </c>
      <c r="AJ1072" s="6" t="e">
        <f t="shared" si="99"/>
        <v>#N/A</v>
      </c>
      <c r="AK1072" s="19" t="e">
        <f t="shared" si="100"/>
        <v>#N/A</v>
      </c>
    </row>
    <row r="1073" spans="31:37">
      <c r="AE1073">
        <v>-0.36199999999999999</v>
      </c>
      <c r="AG1073" s="41" t="str">
        <f t="shared" si="101"/>
        <v/>
      </c>
      <c r="AH1073" t="str">
        <f t="shared" si="97"/>
        <v/>
      </c>
      <c r="AI1073" t="e">
        <f t="shared" si="98"/>
        <v>#N/A</v>
      </c>
      <c r="AJ1073" s="6" t="e">
        <f t="shared" si="99"/>
        <v>#N/A</v>
      </c>
      <c r="AK1073" s="19" t="e">
        <f t="shared" si="100"/>
        <v>#N/A</v>
      </c>
    </row>
    <row r="1074" spans="31:37">
      <c r="AE1074">
        <v>-0.42199999999999999</v>
      </c>
      <c r="AG1074" s="41" t="str">
        <f t="shared" si="101"/>
        <v/>
      </c>
      <c r="AH1074" t="str">
        <f t="shared" si="97"/>
        <v/>
      </c>
      <c r="AI1074" t="e">
        <f t="shared" si="98"/>
        <v>#N/A</v>
      </c>
      <c r="AJ1074" s="6" t="e">
        <f t="shared" si="99"/>
        <v>#N/A</v>
      </c>
      <c r="AK1074" s="19" t="e">
        <f t="shared" si="100"/>
        <v>#N/A</v>
      </c>
    </row>
    <row r="1075" spans="31:37">
      <c r="AE1075">
        <v>-0.58799999999999997</v>
      </c>
      <c r="AG1075" s="41" t="str">
        <f t="shared" si="101"/>
        <v/>
      </c>
      <c r="AH1075" t="str">
        <f t="shared" si="97"/>
        <v/>
      </c>
      <c r="AI1075" t="e">
        <f t="shared" si="98"/>
        <v>#N/A</v>
      </c>
      <c r="AJ1075" s="6" t="e">
        <f t="shared" si="99"/>
        <v>#N/A</v>
      </c>
      <c r="AK1075" s="19" t="e">
        <f t="shared" si="100"/>
        <v>#N/A</v>
      </c>
    </row>
    <row r="1076" spans="31:37">
      <c r="AE1076">
        <v>-0.12</v>
      </c>
      <c r="AG1076" s="41" t="str">
        <f t="shared" si="101"/>
        <v/>
      </c>
      <c r="AH1076" t="str">
        <f t="shared" si="97"/>
        <v/>
      </c>
      <c r="AI1076" t="e">
        <f t="shared" si="98"/>
        <v>#N/A</v>
      </c>
      <c r="AJ1076" s="6" t="e">
        <f t="shared" si="99"/>
        <v>#N/A</v>
      </c>
      <c r="AK1076" s="19" t="e">
        <f t="shared" si="100"/>
        <v>#N/A</v>
      </c>
    </row>
    <row r="1077" spans="31:37">
      <c r="AE1077">
        <v>-6.5000000000000002E-2</v>
      </c>
      <c r="AG1077" s="41" t="str">
        <f t="shared" si="101"/>
        <v/>
      </c>
      <c r="AH1077" t="str">
        <f t="shared" si="97"/>
        <v/>
      </c>
      <c r="AI1077" t="e">
        <f t="shared" si="98"/>
        <v>#N/A</v>
      </c>
      <c r="AJ1077" s="6" t="e">
        <f t="shared" si="99"/>
        <v>#N/A</v>
      </c>
      <c r="AK1077" s="19" t="e">
        <f t="shared" si="100"/>
        <v>#N/A</v>
      </c>
    </row>
    <row r="1078" spans="31:37">
      <c r="AG1078" s="41" t="str">
        <f t="shared" si="101"/>
        <v/>
      </c>
      <c r="AH1078" t="str">
        <f t="shared" si="97"/>
        <v/>
      </c>
      <c r="AI1078" t="e">
        <f t="shared" si="98"/>
        <v>#N/A</v>
      </c>
      <c r="AJ1078" s="6" t="e">
        <f t="shared" si="99"/>
        <v>#N/A</v>
      </c>
      <c r="AK1078" s="19" t="e">
        <f t="shared" si="100"/>
        <v>#N/A</v>
      </c>
    </row>
    <row r="1079" spans="31:37">
      <c r="AG1079" s="41" t="str">
        <f t="shared" si="101"/>
        <v/>
      </c>
      <c r="AH1079" t="str">
        <f t="shared" si="97"/>
        <v/>
      </c>
      <c r="AI1079" t="e">
        <f t="shared" si="98"/>
        <v>#N/A</v>
      </c>
      <c r="AJ1079" s="6" t="e">
        <f t="shared" si="99"/>
        <v>#N/A</v>
      </c>
      <c r="AK1079" s="19" t="e">
        <f t="shared" si="100"/>
        <v>#N/A</v>
      </c>
    </row>
    <row r="1080" spans="31:37">
      <c r="AG1080" s="41" t="str">
        <f t="shared" si="101"/>
        <v/>
      </c>
      <c r="AH1080" t="str">
        <f t="shared" si="97"/>
        <v/>
      </c>
      <c r="AI1080" t="e">
        <f t="shared" si="98"/>
        <v>#N/A</v>
      </c>
      <c r="AJ1080" s="6" t="e">
        <f t="shared" si="99"/>
        <v>#N/A</v>
      </c>
      <c r="AK1080" s="19" t="e">
        <f t="shared" si="100"/>
        <v>#N/A</v>
      </c>
    </row>
    <row r="1081" spans="31:37">
      <c r="AG1081" s="41" t="str">
        <f t="shared" si="101"/>
        <v/>
      </c>
      <c r="AH1081" t="str">
        <f t="shared" ref="AH1081:AH1144" si="102">IF(AG1081&lt;&gt;"",MID($AE$4,AG1081,1),"")</f>
        <v/>
      </c>
      <c r="AI1081" t="e">
        <f t="shared" ref="AI1081:AI1144" si="103">IFERROR(VLOOKUP(AH1081,$AA$4:$AB$13,2,0),VLOOKUP(AH1081,$AC$4:$AD$13,2,0))</f>
        <v>#N/A</v>
      </c>
      <c r="AJ1081" s="6" t="e">
        <f t="shared" ref="AJ1081:AJ1144" si="104">IF(AND(AI1080="Rg",AI1082="Rg"),"2Rg",IF(AND(AI1080="Rg",AI1082="Fx"),"RgFx",IF(AND(AI1080="Fx",AI1082="Rg"),"RgFx",IF(AND(AI1080="Fx",AI1082="Fx"),"2Fx",""))))</f>
        <v>#N/A</v>
      </c>
      <c r="AK1081" s="19" t="e">
        <f t="shared" ref="AK1081:AK1144" si="105">IF(AJ1081&lt;&gt;"",VLOOKUP(AJ1081,mv,HLOOKUP(AH1081,mh,2,0),0),"")</f>
        <v>#N/A</v>
      </c>
    </row>
    <row r="1082" spans="31:37">
      <c r="AG1082" s="41" t="str">
        <f t="shared" si="101"/>
        <v/>
      </c>
      <c r="AH1082" t="str">
        <f t="shared" si="102"/>
        <v/>
      </c>
      <c r="AI1082" t="e">
        <f t="shared" si="103"/>
        <v>#N/A</v>
      </c>
      <c r="AJ1082" s="6" t="e">
        <f t="shared" si="104"/>
        <v>#N/A</v>
      </c>
      <c r="AK1082" s="19" t="e">
        <f t="shared" si="105"/>
        <v>#N/A</v>
      </c>
    </row>
    <row r="1083" spans="31:37">
      <c r="AG1083" s="41" t="str">
        <f t="shared" si="101"/>
        <v/>
      </c>
      <c r="AH1083" t="str">
        <f t="shared" si="102"/>
        <v/>
      </c>
      <c r="AI1083" t="e">
        <f t="shared" si="103"/>
        <v>#N/A</v>
      </c>
      <c r="AJ1083" s="6" t="e">
        <f t="shared" si="104"/>
        <v>#N/A</v>
      </c>
      <c r="AK1083" s="19" t="e">
        <f t="shared" si="105"/>
        <v>#N/A</v>
      </c>
    </row>
    <row r="1084" spans="31:37">
      <c r="AG1084" s="41" t="str">
        <f t="shared" si="101"/>
        <v/>
      </c>
      <c r="AH1084" t="str">
        <f t="shared" si="102"/>
        <v/>
      </c>
      <c r="AI1084" t="e">
        <f t="shared" si="103"/>
        <v>#N/A</v>
      </c>
      <c r="AJ1084" s="6" t="e">
        <f t="shared" si="104"/>
        <v>#N/A</v>
      </c>
      <c r="AK1084" s="19" t="e">
        <f t="shared" si="105"/>
        <v>#N/A</v>
      </c>
    </row>
    <row r="1085" spans="31:37">
      <c r="AG1085" s="41" t="str">
        <f t="shared" si="101"/>
        <v/>
      </c>
      <c r="AH1085" t="str">
        <f t="shared" si="102"/>
        <v/>
      </c>
      <c r="AI1085" t="e">
        <f t="shared" si="103"/>
        <v>#N/A</v>
      </c>
      <c r="AJ1085" s="6" t="e">
        <f t="shared" si="104"/>
        <v>#N/A</v>
      </c>
      <c r="AK1085" s="19" t="e">
        <f t="shared" si="105"/>
        <v>#N/A</v>
      </c>
    </row>
    <row r="1086" spans="31:37">
      <c r="AG1086" s="41" t="str">
        <f t="shared" si="101"/>
        <v/>
      </c>
      <c r="AH1086" t="str">
        <f t="shared" si="102"/>
        <v/>
      </c>
      <c r="AI1086" t="e">
        <f t="shared" si="103"/>
        <v>#N/A</v>
      </c>
      <c r="AJ1086" s="6" t="e">
        <f t="shared" si="104"/>
        <v>#N/A</v>
      </c>
      <c r="AK1086" s="19" t="e">
        <f t="shared" si="105"/>
        <v>#N/A</v>
      </c>
    </row>
    <row r="1087" spans="31:37">
      <c r="AG1087" s="41" t="str">
        <f t="shared" si="101"/>
        <v/>
      </c>
      <c r="AH1087" t="str">
        <f t="shared" si="102"/>
        <v/>
      </c>
      <c r="AI1087" t="e">
        <f t="shared" si="103"/>
        <v>#N/A</v>
      </c>
      <c r="AJ1087" s="6" t="e">
        <f t="shared" si="104"/>
        <v>#N/A</v>
      </c>
      <c r="AK1087" s="19" t="e">
        <f t="shared" si="105"/>
        <v>#N/A</v>
      </c>
    </row>
    <row r="1088" spans="31:37">
      <c r="AG1088" s="41" t="str">
        <f t="shared" si="101"/>
        <v/>
      </c>
      <c r="AH1088" t="str">
        <f t="shared" si="102"/>
        <v/>
      </c>
      <c r="AI1088" t="e">
        <f t="shared" si="103"/>
        <v>#N/A</v>
      </c>
      <c r="AJ1088" s="6" t="e">
        <f t="shared" si="104"/>
        <v>#N/A</v>
      </c>
      <c r="AK1088" s="19" t="e">
        <f t="shared" si="105"/>
        <v>#N/A</v>
      </c>
    </row>
    <row r="1089" spans="33:37">
      <c r="AG1089" s="41" t="str">
        <f t="shared" si="101"/>
        <v/>
      </c>
      <c r="AH1089" t="str">
        <f t="shared" si="102"/>
        <v/>
      </c>
      <c r="AI1089" t="e">
        <f t="shared" si="103"/>
        <v>#N/A</v>
      </c>
      <c r="AJ1089" s="6" t="e">
        <f t="shared" si="104"/>
        <v>#N/A</v>
      </c>
      <c r="AK1089" s="19" t="e">
        <f t="shared" si="105"/>
        <v>#N/A</v>
      </c>
    </row>
    <row r="1090" spans="33:37">
      <c r="AG1090" s="41" t="str">
        <f t="shared" si="101"/>
        <v/>
      </c>
      <c r="AH1090" t="str">
        <f t="shared" si="102"/>
        <v/>
      </c>
      <c r="AI1090" t="e">
        <f t="shared" si="103"/>
        <v>#N/A</v>
      </c>
      <c r="AJ1090" s="6" t="e">
        <f t="shared" si="104"/>
        <v>#N/A</v>
      </c>
      <c r="AK1090" s="19" t="e">
        <f t="shared" si="105"/>
        <v>#N/A</v>
      </c>
    </row>
    <row r="1091" spans="33:37">
      <c r="AG1091" s="41" t="str">
        <f t="shared" si="101"/>
        <v/>
      </c>
      <c r="AH1091" t="str">
        <f t="shared" si="102"/>
        <v/>
      </c>
      <c r="AI1091" t="e">
        <f t="shared" si="103"/>
        <v>#N/A</v>
      </c>
      <c r="AJ1091" s="6" t="e">
        <f t="shared" si="104"/>
        <v>#N/A</v>
      </c>
      <c r="AK1091" s="19" t="e">
        <f t="shared" si="105"/>
        <v>#N/A</v>
      </c>
    </row>
    <row r="1092" spans="33:37">
      <c r="AG1092" s="41" t="str">
        <f t="shared" si="101"/>
        <v/>
      </c>
      <c r="AH1092" t="str">
        <f t="shared" si="102"/>
        <v/>
      </c>
      <c r="AI1092" t="e">
        <f t="shared" si="103"/>
        <v>#N/A</v>
      </c>
      <c r="AJ1092" s="6" t="e">
        <f t="shared" si="104"/>
        <v>#N/A</v>
      </c>
      <c r="AK1092" s="19" t="e">
        <f t="shared" si="105"/>
        <v>#N/A</v>
      </c>
    </row>
    <row r="1093" spans="33:37">
      <c r="AG1093" s="41" t="str">
        <f t="shared" ref="AG1093:AG1156" si="106">IF(AG1092&lt;$AF$4,AG1092+1,"")</f>
        <v/>
      </c>
      <c r="AH1093" t="str">
        <f t="shared" si="102"/>
        <v/>
      </c>
      <c r="AI1093" t="e">
        <f t="shared" si="103"/>
        <v>#N/A</v>
      </c>
      <c r="AJ1093" s="6" t="e">
        <f t="shared" si="104"/>
        <v>#N/A</v>
      </c>
      <c r="AK1093" s="19" t="e">
        <f t="shared" si="105"/>
        <v>#N/A</v>
      </c>
    </row>
    <row r="1094" spans="33:37">
      <c r="AG1094" s="41" t="str">
        <f t="shared" si="106"/>
        <v/>
      </c>
      <c r="AH1094" t="str">
        <f t="shared" si="102"/>
        <v/>
      </c>
      <c r="AI1094" t="e">
        <f t="shared" si="103"/>
        <v>#N/A</v>
      </c>
      <c r="AJ1094" s="6" t="e">
        <f t="shared" si="104"/>
        <v>#N/A</v>
      </c>
      <c r="AK1094" s="19" t="e">
        <f t="shared" si="105"/>
        <v>#N/A</v>
      </c>
    </row>
    <row r="1095" spans="33:37">
      <c r="AG1095" s="41" t="str">
        <f t="shared" si="106"/>
        <v/>
      </c>
      <c r="AH1095" t="str">
        <f t="shared" si="102"/>
        <v/>
      </c>
      <c r="AI1095" t="e">
        <f t="shared" si="103"/>
        <v>#N/A</v>
      </c>
      <c r="AJ1095" s="6" t="e">
        <f t="shared" si="104"/>
        <v>#N/A</v>
      </c>
      <c r="AK1095" s="19" t="e">
        <f t="shared" si="105"/>
        <v>#N/A</v>
      </c>
    </row>
    <row r="1096" spans="33:37">
      <c r="AG1096" s="41" t="str">
        <f t="shared" si="106"/>
        <v/>
      </c>
      <c r="AH1096" t="str">
        <f t="shared" si="102"/>
        <v/>
      </c>
      <c r="AI1096" t="e">
        <f t="shared" si="103"/>
        <v>#N/A</v>
      </c>
      <c r="AJ1096" s="6" t="e">
        <f t="shared" si="104"/>
        <v>#N/A</v>
      </c>
      <c r="AK1096" s="19" t="e">
        <f t="shared" si="105"/>
        <v>#N/A</v>
      </c>
    </row>
    <row r="1097" spans="33:37">
      <c r="AG1097" s="41" t="str">
        <f t="shared" si="106"/>
        <v/>
      </c>
      <c r="AH1097" t="str">
        <f t="shared" si="102"/>
        <v/>
      </c>
      <c r="AI1097" t="e">
        <f t="shared" si="103"/>
        <v>#N/A</v>
      </c>
      <c r="AJ1097" s="6" t="e">
        <f t="shared" si="104"/>
        <v>#N/A</v>
      </c>
      <c r="AK1097" s="19" t="e">
        <f t="shared" si="105"/>
        <v>#N/A</v>
      </c>
    </row>
    <row r="1098" spans="33:37">
      <c r="AG1098" s="41" t="str">
        <f t="shared" si="106"/>
        <v/>
      </c>
      <c r="AH1098" t="str">
        <f t="shared" si="102"/>
        <v/>
      </c>
      <c r="AI1098" t="e">
        <f t="shared" si="103"/>
        <v>#N/A</v>
      </c>
      <c r="AJ1098" s="6" t="e">
        <f t="shared" si="104"/>
        <v>#N/A</v>
      </c>
      <c r="AK1098" s="19" t="e">
        <f t="shared" si="105"/>
        <v>#N/A</v>
      </c>
    </row>
    <row r="1099" spans="33:37">
      <c r="AG1099" s="41" t="str">
        <f t="shared" si="106"/>
        <v/>
      </c>
      <c r="AH1099" t="str">
        <f t="shared" si="102"/>
        <v/>
      </c>
      <c r="AI1099" t="e">
        <f t="shared" si="103"/>
        <v>#N/A</v>
      </c>
      <c r="AJ1099" s="6" t="e">
        <f t="shared" si="104"/>
        <v>#N/A</v>
      </c>
      <c r="AK1099" s="19" t="e">
        <f t="shared" si="105"/>
        <v>#N/A</v>
      </c>
    </row>
    <row r="1100" spans="33:37">
      <c r="AG1100" s="41" t="str">
        <f t="shared" si="106"/>
        <v/>
      </c>
      <c r="AH1100" t="str">
        <f t="shared" si="102"/>
        <v/>
      </c>
      <c r="AI1100" t="e">
        <f t="shared" si="103"/>
        <v>#N/A</v>
      </c>
      <c r="AJ1100" s="6" t="e">
        <f t="shared" si="104"/>
        <v>#N/A</v>
      </c>
      <c r="AK1100" s="19" t="e">
        <f t="shared" si="105"/>
        <v>#N/A</v>
      </c>
    </row>
    <row r="1101" spans="33:37">
      <c r="AG1101" s="41" t="str">
        <f t="shared" si="106"/>
        <v/>
      </c>
      <c r="AH1101" t="str">
        <f t="shared" si="102"/>
        <v/>
      </c>
      <c r="AI1101" t="e">
        <f t="shared" si="103"/>
        <v>#N/A</v>
      </c>
      <c r="AJ1101" s="6" t="e">
        <f t="shared" si="104"/>
        <v>#N/A</v>
      </c>
      <c r="AK1101" s="19" t="e">
        <f t="shared" si="105"/>
        <v>#N/A</v>
      </c>
    </row>
    <row r="1102" spans="33:37">
      <c r="AG1102" s="41" t="str">
        <f t="shared" si="106"/>
        <v/>
      </c>
      <c r="AH1102" t="str">
        <f t="shared" si="102"/>
        <v/>
      </c>
      <c r="AI1102" t="e">
        <f t="shared" si="103"/>
        <v>#N/A</v>
      </c>
      <c r="AJ1102" s="6" t="e">
        <f t="shared" si="104"/>
        <v>#N/A</v>
      </c>
      <c r="AK1102" s="19" t="e">
        <f t="shared" si="105"/>
        <v>#N/A</v>
      </c>
    </row>
    <row r="1103" spans="33:37">
      <c r="AG1103" s="41" t="str">
        <f t="shared" si="106"/>
        <v/>
      </c>
      <c r="AH1103" t="str">
        <f t="shared" si="102"/>
        <v/>
      </c>
      <c r="AI1103" t="e">
        <f t="shared" si="103"/>
        <v>#N/A</v>
      </c>
      <c r="AJ1103" s="6" t="e">
        <f t="shared" si="104"/>
        <v>#N/A</v>
      </c>
      <c r="AK1103" s="19" t="e">
        <f t="shared" si="105"/>
        <v>#N/A</v>
      </c>
    </row>
    <row r="1104" spans="33:37">
      <c r="AG1104" s="41" t="str">
        <f t="shared" si="106"/>
        <v/>
      </c>
      <c r="AH1104" t="str">
        <f t="shared" si="102"/>
        <v/>
      </c>
      <c r="AI1104" t="e">
        <f t="shared" si="103"/>
        <v>#N/A</v>
      </c>
      <c r="AJ1104" s="6" t="e">
        <f t="shared" si="104"/>
        <v>#N/A</v>
      </c>
      <c r="AK1104" s="19" t="e">
        <f t="shared" si="105"/>
        <v>#N/A</v>
      </c>
    </row>
    <row r="1105" spans="33:37">
      <c r="AG1105" s="41" t="str">
        <f t="shared" si="106"/>
        <v/>
      </c>
      <c r="AH1105" t="str">
        <f t="shared" si="102"/>
        <v/>
      </c>
      <c r="AI1105" t="e">
        <f t="shared" si="103"/>
        <v>#N/A</v>
      </c>
      <c r="AJ1105" s="6" t="e">
        <f t="shared" si="104"/>
        <v>#N/A</v>
      </c>
      <c r="AK1105" s="19" t="e">
        <f t="shared" si="105"/>
        <v>#N/A</v>
      </c>
    </row>
    <row r="1106" spans="33:37">
      <c r="AG1106" s="41" t="str">
        <f t="shared" si="106"/>
        <v/>
      </c>
      <c r="AH1106" t="str">
        <f t="shared" si="102"/>
        <v/>
      </c>
      <c r="AI1106" t="e">
        <f t="shared" si="103"/>
        <v>#N/A</v>
      </c>
      <c r="AJ1106" s="6" t="e">
        <f t="shared" si="104"/>
        <v>#N/A</v>
      </c>
      <c r="AK1106" s="19" t="e">
        <f t="shared" si="105"/>
        <v>#N/A</v>
      </c>
    </row>
    <row r="1107" spans="33:37">
      <c r="AG1107" s="41" t="str">
        <f t="shared" si="106"/>
        <v/>
      </c>
      <c r="AH1107" t="str">
        <f t="shared" si="102"/>
        <v/>
      </c>
      <c r="AI1107" t="e">
        <f t="shared" si="103"/>
        <v>#N/A</v>
      </c>
      <c r="AJ1107" s="6" t="e">
        <f t="shared" si="104"/>
        <v>#N/A</v>
      </c>
      <c r="AK1107" s="19" t="e">
        <f t="shared" si="105"/>
        <v>#N/A</v>
      </c>
    </row>
    <row r="1108" spans="33:37">
      <c r="AG1108" s="41" t="str">
        <f t="shared" si="106"/>
        <v/>
      </c>
      <c r="AH1108" t="str">
        <f t="shared" si="102"/>
        <v/>
      </c>
      <c r="AI1108" t="e">
        <f t="shared" si="103"/>
        <v>#N/A</v>
      </c>
      <c r="AJ1108" s="6" t="e">
        <f t="shared" si="104"/>
        <v>#N/A</v>
      </c>
      <c r="AK1108" s="19" t="e">
        <f t="shared" si="105"/>
        <v>#N/A</v>
      </c>
    </row>
    <row r="1109" spans="33:37">
      <c r="AG1109" s="41" t="str">
        <f t="shared" si="106"/>
        <v/>
      </c>
      <c r="AH1109" t="str">
        <f t="shared" si="102"/>
        <v/>
      </c>
      <c r="AI1109" t="e">
        <f t="shared" si="103"/>
        <v>#N/A</v>
      </c>
      <c r="AJ1109" s="6" t="e">
        <f t="shared" si="104"/>
        <v>#N/A</v>
      </c>
      <c r="AK1109" s="19" t="e">
        <f t="shared" si="105"/>
        <v>#N/A</v>
      </c>
    </row>
    <row r="1110" spans="33:37">
      <c r="AG1110" s="41" t="str">
        <f t="shared" si="106"/>
        <v/>
      </c>
      <c r="AH1110" t="str">
        <f t="shared" si="102"/>
        <v/>
      </c>
      <c r="AI1110" t="e">
        <f t="shared" si="103"/>
        <v>#N/A</v>
      </c>
      <c r="AJ1110" s="6" t="e">
        <f t="shared" si="104"/>
        <v>#N/A</v>
      </c>
      <c r="AK1110" s="19" t="e">
        <f t="shared" si="105"/>
        <v>#N/A</v>
      </c>
    </row>
    <row r="1111" spans="33:37">
      <c r="AG1111" s="41" t="str">
        <f t="shared" si="106"/>
        <v/>
      </c>
      <c r="AH1111" t="str">
        <f t="shared" si="102"/>
        <v/>
      </c>
      <c r="AI1111" t="e">
        <f t="shared" si="103"/>
        <v>#N/A</v>
      </c>
      <c r="AJ1111" s="6" t="e">
        <f t="shared" si="104"/>
        <v>#N/A</v>
      </c>
      <c r="AK1111" s="19" t="e">
        <f t="shared" si="105"/>
        <v>#N/A</v>
      </c>
    </row>
    <row r="1112" spans="33:37">
      <c r="AG1112" s="41" t="str">
        <f t="shared" si="106"/>
        <v/>
      </c>
      <c r="AH1112" t="str">
        <f t="shared" si="102"/>
        <v/>
      </c>
      <c r="AI1112" t="e">
        <f t="shared" si="103"/>
        <v>#N/A</v>
      </c>
      <c r="AJ1112" s="6" t="e">
        <f t="shared" si="104"/>
        <v>#N/A</v>
      </c>
      <c r="AK1112" s="19" t="e">
        <f t="shared" si="105"/>
        <v>#N/A</v>
      </c>
    </row>
    <row r="1113" spans="33:37">
      <c r="AG1113" s="41" t="str">
        <f t="shared" si="106"/>
        <v/>
      </c>
      <c r="AH1113" t="str">
        <f t="shared" si="102"/>
        <v/>
      </c>
      <c r="AI1113" t="e">
        <f t="shared" si="103"/>
        <v>#N/A</v>
      </c>
      <c r="AJ1113" s="6" t="e">
        <f t="shared" si="104"/>
        <v>#N/A</v>
      </c>
      <c r="AK1113" s="19" t="e">
        <f t="shared" si="105"/>
        <v>#N/A</v>
      </c>
    </row>
    <row r="1114" spans="33:37">
      <c r="AG1114" s="41" t="str">
        <f t="shared" si="106"/>
        <v/>
      </c>
      <c r="AH1114" t="str">
        <f t="shared" si="102"/>
        <v/>
      </c>
      <c r="AI1114" t="e">
        <f t="shared" si="103"/>
        <v>#N/A</v>
      </c>
      <c r="AJ1114" s="6" t="e">
        <f t="shared" si="104"/>
        <v>#N/A</v>
      </c>
      <c r="AK1114" s="19" t="e">
        <f t="shared" si="105"/>
        <v>#N/A</v>
      </c>
    </row>
    <row r="1115" spans="33:37">
      <c r="AG1115" s="41" t="str">
        <f t="shared" si="106"/>
        <v/>
      </c>
      <c r="AH1115" t="str">
        <f t="shared" si="102"/>
        <v/>
      </c>
      <c r="AI1115" t="e">
        <f t="shared" si="103"/>
        <v>#N/A</v>
      </c>
      <c r="AJ1115" s="6" t="e">
        <f t="shared" si="104"/>
        <v>#N/A</v>
      </c>
      <c r="AK1115" s="19" t="e">
        <f t="shared" si="105"/>
        <v>#N/A</v>
      </c>
    </row>
    <row r="1116" spans="33:37">
      <c r="AG1116" s="41" t="str">
        <f t="shared" si="106"/>
        <v/>
      </c>
      <c r="AH1116" t="str">
        <f t="shared" si="102"/>
        <v/>
      </c>
      <c r="AI1116" t="e">
        <f t="shared" si="103"/>
        <v>#N/A</v>
      </c>
      <c r="AJ1116" s="6" t="e">
        <f t="shared" si="104"/>
        <v>#N/A</v>
      </c>
      <c r="AK1116" s="19" t="e">
        <f t="shared" si="105"/>
        <v>#N/A</v>
      </c>
    </row>
    <row r="1117" spans="33:37">
      <c r="AG1117" s="41" t="str">
        <f t="shared" si="106"/>
        <v/>
      </c>
      <c r="AH1117" t="str">
        <f t="shared" si="102"/>
        <v/>
      </c>
      <c r="AI1117" t="e">
        <f t="shared" si="103"/>
        <v>#N/A</v>
      </c>
      <c r="AJ1117" s="6" t="e">
        <f t="shared" si="104"/>
        <v>#N/A</v>
      </c>
      <c r="AK1117" s="19" t="e">
        <f t="shared" si="105"/>
        <v>#N/A</v>
      </c>
    </row>
    <row r="1118" spans="33:37">
      <c r="AG1118" s="41" t="str">
        <f t="shared" si="106"/>
        <v/>
      </c>
      <c r="AH1118" t="str">
        <f t="shared" si="102"/>
        <v/>
      </c>
      <c r="AI1118" t="e">
        <f t="shared" si="103"/>
        <v>#N/A</v>
      </c>
      <c r="AJ1118" s="6" t="e">
        <f t="shared" si="104"/>
        <v>#N/A</v>
      </c>
      <c r="AK1118" s="19" t="e">
        <f t="shared" si="105"/>
        <v>#N/A</v>
      </c>
    </row>
    <row r="1119" spans="33:37">
      <c r="AG1119" s="41" t="str">
        <f t="shared" si="106"/>
        <v/>
      </c>
      <c r="AH1119" t="str">
        <f t="shared" si="102"/>
        <v/>
      </c>
      <c r="AI1119" t="e">
        <f t="shared" si="103"/>
        <v>#N/A</v>
      </c>
      <c r="AJ1119" s="6" t="e">
        <f t="shared" si="104"/>
        <v>#N/A</v>
      </c>
      <c r="AK1119" s="19" t="e">
        <f t="shared" si="105"/>
        <v>#N/A</v>
      </c>
    </row>
    <row r="1120" spans="33:37">
      <c r="AG1120" s="41" t="str">
        <f t="shared" si="106"/>
        <v/>
      </c>
      <c r="AH1120" t="str">
        <f t="shared" si="102"/>
        <v/>
      </c>
      <c r="AI1120" t="e">
        <f t="shared" si="103"/>
        <v>#N/A</v>
      </c>
      <c r="AJ1120" s="6" t="e">
        <f t="shared" si="104"/>
        <v>#N/A</v>
      </c>
      <c r="AK1120" s="19" t="e">
        <f t="shared" si="105"/>
        <v>#N/A</v>
      </c>
    </row>
    <row r="1121" spans="33:37">
      <c r="AG1121" s="41" t="str">
        <f t="shared" si="106"/>
        <v/>
      </c>
      <c r="AH1121" t="str">
        <f t="shared" si="102"/>
        <v/>
      </c>
      <c r="AI1121" t="e">
        <f t="shared" si="103"/>
        <v>#N/A</v>
      </c>
      <c r="AJ1121" s="6" t="e">
        <f t="shared" si="104"/>
        <v>#N/A</v>
      </c>
      <c r="AK1121" s="19" t="e">
        <f t="shared" si="105"/>
        <v>#N/A</v>
      </c>
    </row>
    <row r="1122" spans="33:37">
      <c r="AG1122" s="41" t="str">
        <f t="shared" si="106"/>
        <v/>
      </c>
      <c r="AH1122" t="str">
        <f t="shared" si="102"/>
        <v/>
      </c>
      <c r="AI1122" t="e">
        <f t="shared" si="103"/>
        <v>#N/A</v>
      </c>
      <c r="AJ1122" s="6" t="e">
        <f t="shared" si="104"/>
        <v>#N/A</v>
      </c>
      <c r="AK1122" s="19" t="e">
        <f t="shared" si="105"/>
        <v>#N/A</v>
      </c>
    </row>
    <row r="1123" spans="33:37">
      <c r="AG1123" s="41" t="str">
        <f t="shared" si="106"/>
        <v/>
      </c>
      <c r="AH1123" t="str">
        <f t="shared" si="102"/>
        <v/>
      </c>
      <c r="AI1123" t="e">
        <f t="shared" si="103"/>
        <v>#N/A</v>
      </c>
      <c r="AJ1123" s="6" t="e">
        <f t="shared" si="104"/>
        <v>#N/A</v>
      </c>
      <c r="AK1123" s="19" t="e">
        <f t="shared" si="105"/>
        <v>#N/A</v>
      </c>
    </row>
    <row r="1124" spans="33:37">
      <c r="AG1124" s="41" t="str">
        <f t="shared" si="106"/>
        <v/>
      </c>
      <c r="AH1124" t="str">
        <f t="shared" si="102"/>
        <v/>
      </c>
      <c r="AI1124" t="e">
        <f t="shared" si="103"/>
        <v>#N/A</v>
      </c>
      <c r="AJ1124" s="6" t="e">
        <f t="shared" si="104"/>
        <v>#N/A</v>
      </c>
      <c r="AK1124" s="19" t="e">
        <f t="shared" si="105"/>
        <v>#N/A</v>
      </c>
    </row>
    <row r="1125" spans="33:37">
      <c r="AG1125" s="41" t="str">
        <f t="shared" si="106"/>
        <v/>
      </c>
      <c r="AH1125" t="str">
        <f t="shared" si="102"/>
        <v/>
      </c>
      <c r="AI1125" t="e">
        <f t="shared" si="103"/>
        <v>#N/A</v>
      </c>
      <c r="AJ1125" s="6" t="e">
        <f t="shared" si="104"/>
        <v>#N/A</v>
      </c>
      <c r="AK1125" s="19" t="e">
        <f t="shared" si="105"/>
        <v>#N/A</v>
      </c>
    </row>
    <row r="1126" spans="33:37">
      <c r="AG1126" s="41" t="str">
        <f t="shared" si="106"/>
        <v/>
      </c>
      <c r="AH1126" t="str">
        <f t="shared" si="102"/>
        <v/>
      </c>
      <c r="AI1126" t="e">
        <f t="shared" si="103"/>
        <v>#N/A</v>
      </c>
      <c r="AJ1126" s="6" t="e">
        <f t="shared" si="104"/>
        <v>#N/A</v>
      </c>
      <c r="AK1126" s="19" t="e">
        <f t="shared" si="105"/>
        <v>#N/A</v>
      </c>
    </row>
    <row r="1127" spans="33:37">
      <c r="AG1127" s="41" t="str">
        <f t="shared" si="106"/>
        <v/>
      </c>
      <c r="AH1127" t="str">
        <f t="shared" si="102"/>
        <v/>
      </c>
      <c r="AI1127" t="e">
        <f t="shared" si="103"/>
        <v>#N/A</v>
      </c>
      <c r="AJ1127" s="6" t="e">
        <f t="shared" si="104"/>
        <v>#N/A</v>
      </c>
      <c r="AK1127" s="19" t="e">
        <f t="shared" si="105"/>
        <v>#N/A</v>
      </c>
    </row>
    <row r="1128" spans="33:37">
      <c r="AG1128" s="41" t="str">
        <f t="shared" si="106"/>
        <v/>
      </c>
      <c r="AH1128" t="str">
        <f t="shared" si="102"/>
        <v/>
      </c>
      <c r="AI1128" t="e">
        <f t="shared" si="103"/>
        <v>#N/A</v>
      </c>
      <c r="AJ1128" s="6" t="e">
        <f t="shared" si="104"/>
        <v>#N/A</v>
      </c>
      <c r="AK1128" s="19" t="e">
        <f t="shared" si="105"/>
        <v>#N/A</v>
      </c>
    </row>
    <row r="1129" spans="33:37">
      <c r="AG1129" s="41" t="str">
        <f t="shared" si="106"/>
        <v/>
      </c>
      <c r="AH1129" t="str">
        <f t="shared" si="102"/>
        <v/>
      </c>
      <c r="AI1129" t="e">
        <f t="shared" si="103"/>
        <v>#N/A</v>
      </c>
      <c r="AJ1129" s="6" t="e">
        <f t="shared" si="104"/>
        <v>#N/A</v>
      </c>
      <c r="AK1129" s="19" t="e">
        <f t="shared" si="105"/>
        <v>#N/A</v>
      </c>
    </row>
    <row r="1130" spans="33:37">
      <c r="AG1130" s="41" t="str">
        <f t="shared" si="106"/>
        <v/>
      </c>
      <c r="AH1130" t="str">
        <f t="shared" si="102"/>
        <v/>
      </c>
      <c r="AI1130" t="e">
        <f t="shared" si="103"/>
        <v>#N/A</v>
      </c>
      <c r="AJ1130" s="6" t="e">
        <f t="shared" si="104"/>
        <v>#N/A</v>
      </c>
      <c r="AK1130" s="19" t="e">
        <f t="shared" si="105"/>
        <v>#N/A</v>
      </c>
    </row>
    <row r="1131" spans="33:37">
      <c r="AG1131" s="41" t="str">
        <f t="shared" si="106"/>
        <v/>
      </c>
      <c r="AH1131" t="str">
        <f t="shared" si="102"/>
        <v/>
      </c>
      <c r="AI1131" t="e">
        <f t="shared" si="103"/>
        <v>#N/A</v>
      </c>
      <c r="AJ1131" s="6" t="e">
        <f t="shared" si="104"/>
        <v>#N/A</v>
      </c>
      <c r="AK1131" s="19" t="e">
        <f t="shared" si="105"/>
        <v>#N/A</v>
      </c>
    </row>
    <row r="1132" spans="33:37">
      <c r="AG1132" s="41" t="str">
        <f t="shared" si="106"/>
        <v/>
      </c>
      <c r="AH1132" t="str">
        <f t="shared" si="102"/>
        <v/>
      </c>
      <c r="AI1132" t="e">
        <f t="shared" si="103"/>
        <v>#N/A</v>
      </c>
      <c r="AJ1132" s="6" t="e">
        <f t="shared" si="104"/>
        <v>#N/A</v>
      </c>
      <c r="AK1132" s="19" t="e">
        <f t="shared" si="105"/>
        <v>#N/A</v>
      </c>
    </row>
    <row r="1133" spans="33:37">
      <c r="AG1133" s="41" t="str">
        <f t="shared" si="106"/>
        <v/>
      </c>
      <c r="AH1133" t="str">
        <f t="shared" si="102"/>
        <v/>
      </c>
      <c r="AI1133" t="e">
        <f t="shared" si="103"/>
        <v>#N/A</v>
      </c>
      <c r="AJ1133" s="6" t="e">
        <f t="shared" si="104"/>
        <v>#N/A</v>
      </c>
      <c r="AK1133" s="19" t="e">
        <f t="shared" si="105"/>
        <v>#N/A</v>
      </c>
    </row>
    <row r="1134" spans="33:37">
      <c r="AG1134" s="41" t="str">
        <f t="shared" si="106"/>
        <v/>
      </c>
      <c r="AH1134" t="str">
        <f t="shared" si="102"/>
        <v/>
      </c>
      <c r="AI1134" t="e">
        <f t="shared" si="103"/>
        <v>#N/A</v>
      </c>
      <c r="AJ1134" s="6" t="e">
        <f t="shared" si="104"/>
        <v>#N/A</v>
      </c>
      <c r="AK1134" s="19" t="e">
        <f t="shared" si="105"/>
        <v>#N/A</v>
      </c>
    </row>
    <row r="1135" spans="33:37">
      <c r="AG1135" s="41" t="str">
        <f t="shared" si="106"/>
        <v/>
      </c>
      <c r="AH1135" t="str">
        <f t="shared" si="102"/>
        <v/>
      </c>
      <c r="AI1135" t="e">
        <f t="shared" si="103"/>
        <v>#N/A</v>
      </c>
      <c r="AJ1135" s="6" t="e">
        <f t="shared" si="104"/>
        <v>#N/A</v>
      </c>
      <c r="AK1135" s="19" t="e">
        <f t="shared" si="105"/>
        <v>#N/A</v>
      </c>
    </row>
    <row r="1136" spans="33:37">
      <c r="AG1136" s="41" t="str">
        <f t="shared" si="106"/>
        <v/>
      </c>
      <c r="AH1136" t="str">
        <f t="shared" si="102"/>
        <v/>
      </c>
      <c r="AI1136" t="e">
        <f t="shared" si="103"/>
        <v>#N/A</v>
      </c>
      <c r="AJ1136" s="6" t="e">
        <f t="shared" si="104"/>
        <v>#N/A</v>
      </c>
      <c r="AK1136" s="19" t="e">
        <f t="shared" si="105"/>
        <v>#N/A</v>
      </c>
    </row>
    <row r="1137" spans="33:37">
      <c r="AG1137" s="41" t="str">
        <f t="shared" si="106"/>
        <v/>
      </c>
      <c r="AH1137" t="str">
        <f t="shared" si="102"/>
        <v/>
      </c>
      <c r="AI1137" t="e">
        <f t="shared" si="103"/>
        <v>#N/A</v>
      </c>
      <c r="AJ1137" s="6" t="e">
        <f t="shared" si="104"/>
        <v>#N/A</v>
      </c>
      <c r="AK1137" s="19" t="e">
        <f t="shared" si="105"/>
        <v>#N/A</v>
      </c>
    </row>
    <row r="1138" spans="33:37">
      <c r="AG1138" s="41" t="str">
        <f t="shared" si="106"/>
        <v/>
      </c>
      <c r="AH1138" t="str">
        <f t="shared" si="102"/>
        <v/>
      </c>
      <c r="AI1138" t="e">
        <f t="shared" si="103"/>
        <v>#N/A</v>
      </c>
      <c r="AJ1138" s="6" t="e">
        <f t="shared" si="104"/>
        <v>#N/A</v>
      </c>
      <c r="AK1138" s="19" t="e">
        <f t="shared" si="105"/>
        <v>#N/A</v>
      </c>
    </row>
    <row r="1139" spans="33:37">
      <c r="AG1139" s="41" t="str">
        <f t="shared" si="106"/>
        <v/>
      </c>
      <c r="AH1139" t="str">
        <f t="shared" si="102"/>
        <v/>
      </c>
      <c r="AI1139" t="e">
        <f t="shared" si="103"/>
        <v>#N/A</v>
      </c>
      <c r="AJ1139" s="6" t="e">
        <f t="shared" si="104"/>
        <v>#N/A</v>
      </c>
      <c r="AK1139" s="19" t="e">
        <f t="shared" si="105"/>
        <v>#N/A</v>
      </c>
    </row>
    <row r="1140" spans="33:37">
      <c r="AG1140" s="41" t="str">
        <f t="shared" si="106"/>
        <v/>
      </c>
      <c r="AH1140" t="str">
        <f t="shared" si="102"/>
        <v/>
      </c>
      <c r="AI1140" t="e">
        <f t="shared" si="103"/>
        <v>#N/A</v>
      </c>
      <c r="AJ1140" s="6" t="e">
        <f t="shared" si="104"/>
        <v>#N/A</v>
      </c>
      <c r="AK1140" s="19" t="e">
        <f t="shared" si="105"/>
        <v>#N/A</v>
      </c>
    </row>
    <row r="1141" spans="33:37">
      <c r="AG1141" s="41" t="str">
        <f t="shared" si="106"/>
        <v/>
      </c>
      <c r="AH1141" t="str">
        <f t="shared" si="102"/>
        <v/>
      </c>
      <c r="AI1141" t="e">
        <f t="shared" si="103"/>
        <v>#N/A</v>
      </c>
      <c r="AJ1141" s="6" t="e">
        <f t="shared" si="104"/>
        <v>#N/A</v>
      </c>
      <c r="AK1141" s="19" t="e">
        <f t="shared" si="105"/>
        <v>#N/A</v>
      </c>
    </row>
    <row r="1142" spans="33:37">
      <c r="AG1142" s="41" t="str">
        <f t="shared" si="106"/>
        <v/>
      </c>
      <c r="AH1142" t="str">
        <f t="shared" si="102"/>
        <v/>
      </c>
      <c r="AI1142" t="e">
        <f t="shared" si="103"/>
        <v>#N/A</v>
      </c>
      <c r="AJ1142" s="6" t="e">
        <f t="shared" si="104"/>
        <v>#N/A</v>
      </c>
      <c r="AK1142" s="19" t="e">
        <f t="shared" si="105"/>
        <v>#N/A</v>
      </c>
    </row>
    <row r="1143" spans="33:37">
      <c r="AG1143" s="41" t="str">
        <f t="shared" si="106"/>
        <v/>
      </c>
      <c r="AH1143" t="str">
        <f t="shared" si="102"/>
        <v/>
      </c>
      <c r="AI1143" t="e">
        <f t="shared" si="103"/>
        <v>#N/A</v>
      </c>
      <c r="AJ1143" s="6" t="e">
        <f t="shared" si="104"/>
        <v>#N/A</v>
      </c>
      <c r="AK1143" s="19" t="e">
        <f t="shared" si="105"/>
        <v>#N/A</v>
      </c>
    </row>
    <row r="1144" spans="33:37">
      <c r="AG1144" s="41" t="str">
        <f t="shared" si="106"/>
        <v/>
      </c>
      <c r="AH1144" t="str">
        <f t="shared" si="102"/>
        <v/>
      </c>
      <c r="AI1144" t="e">
        <f t="shared" si="103"/>
        <v>#N/A</v>
      </c>
      <c r="AJ1144" s="6" t="e">
        <f t="shared" si="104"/>
        <v>#N/A</v>
      </c>
      <c r="AK1144" s="19" t="e">
        <f t="shared" si="105"/>
        <v>#N/A</v>
      </c>
    </row>
    <row r="1145" spans="33:37">
      <c r="AG1145" s="41" t="str">
        <f t="shared" si="106"/>
        <v/>
      </c>
      <c r="AH1145" t="str">
        <f t="shared" ref="AH1145:AH1208" si="107">IF(AG1145&lt;&gt;"",MID($AE$4,AG1145,1),"")</f>
        <v/>
      </c>
      <c r="AI1145" t="e">
        <f t="shared" ref="AI1145:AI1208" si="108">IFERROR(VLOOKUP(AH1145,$AA$4:$AB$13,2,0),VLOOKUP(AH1145,$AC$4:$AD$13,2,0))</f>
        <v>#N/A</v>
      </c>
      <c r="AJ1145" s="6" t="e">
        <f t="shared" ref="AJ1145:AJ1208" si="109">IF(AND(AI1144="Rg",AI1146="Rg"),"2Rg",IF(AND(AI1144="Rg",AI1146="Fx"),"RgFx",IF(AND(AI1144="Fx",AI1146="Rg"),"RgFx",IF(AND(AI1144="Fx",AI1146="Fx"),"2Fx",""))))</f>
        <v>#N/A</v>
      </c>
      <c r="AK1145" s="19" t="e">
        <f t="shared" ref="AK1145:AK1208" si="110">IF(AJ1145&lt;&gt;"",VLOOKUP(AJ1145,mv,HLOOKUP(AH1145,mh,2,0),0),"")</f>
        <v>#N/A</v>
      </c>
    </row>
    <row r="1146" spans="33:37">
      <c r="AG1146" s="41" t="str">
        <f t="shared" si="106"/>
        <v/>
      </c>
      <c r="AH1146" t="str">
        <f t="shared" si="107"/>
        <v/>
      </c>
      <c r="AI1146" t="e">
        <f t="shared" si="108"/>
        <v>#N/A</v>
      </c>
      <c r="AJ1146" s="6" t="e">
        <f t="shared" si="109"/>
        <v>#N/A</v>
      </c>
      <c r="AK1146" s="19" t="e">
        <f t="shared" si="110"/>
        <v>#N/A</v>
      </c>
    </row>
    <row r="1147" spans="33:37">
      <c r="AG1147" s="41" t="str">
        <f t="shared" si="106"/>
        <v/>
      </c>
      <c r="AH1147" t="str">
        <f t="shared" si="107"/>
        <v/>
      </c>
      <c r="AI1147" t="e">
        <f t="shared" si="108"/>
        <v>#N/A</v>
      </c>
      <c r="AJ1147" s="6" t="e">
        <f t="shared" si="109"/>
        <v>#N/A</v>
      </c>
      <c r="AK1147" s="19" t="e">
        <f t="shared" si="110"/>
        <v>#N/A</v>
      </c>
    </row>
    <row r="1148" spans="33:37">
      <c r="AG1148" s="41" t="str">
        <f t="shared" si="106"/>
        <v/>
      </c>
      <c r="AH1148" t="str">
        <f t="shared" si="107"/>
        <v/>
      </c>
      <c r="AI1148" t="e">
        <f t="shared" si="108"/>
        <v>#N/A</v>
      </c>
      <c r="AJ1148" s="6" t="e">
        <f t="shared" si="109"/>
        <v>#N/A</v>
      </c>
      <c r="AK1148" s="19" t="e">
        <f t="shared" si="110"/>
        <v>#N/A</v>
      </c>
    </row>
    <row r="1149" spans="33:37">
      <c r="AG1149" s="41" t="str">
        <f t="shared" si="106"/>
        <v/>
      </c>
      <c r="AH1149" t="str">
        <f t="shared" si="107"/>
        <v/>
      </c>
      <c r="AI1149" t="e">
        <f t="shared" si="108"/>
        <v>#N/A</v>
      </c>
      <c r="AJ1149" s="6" t="e">
        <f t="shared" si="109"/>
        <v>#N/A</v>
      </c>
      <c r="AK1149" s="19" t="e">
        <f t="shared" si="110"/>
        <v>#N/A</v>
      </c>
    </row>
    <row r="1150" spans="33:37">
      <c r="AG1150" s="41" t="str">
        <f t="shared" si="106"/>
        <v/>
      </c>
      <c r="AH1150" t="str">
        <f t="shared" si="107"/>
        <v/>
      </c>
      <c r="AI1150" t="e">
        <f t="shared" si="108"/>
        <v>#N/A</v>
      </c>
      <c r="AJ1150" s="6" t="e">
        <f t="shared" si="109"/>
        <v>#N/A</v>
      </c>
      <c r="AK1150" s="19" t="e">
        <f t="shared" si="110"/>
        <v>#N/A</v>
      </c>
    </row>
    <row r="1151" spans="33:37">
      <c r="AG1151" s="41" t="str">
        <f t="shared" si="106"/>
        <v/>
      </c>
      <c r="AH1151" t="str">
        <f t="shared" si="107"/>
        <v/>
      </c>
      <c r="AI1151" t="e">
        <f t="shared" si="108"/>
        <v>#N/A</v>
      </c>
      <c r="AJ1151" s="6" t="e">
        <f t="shared" si="109"/>
        <v>#N/A</v>
      </c>
      <c r="AK1151" s="19" t="e">
        <f t="shared" si="110"/>
        <v>#N/A</v>
      </c>
    </row>
    <row r="1152" spans="33:37">
      <c r="AG1152" s="41" t="str">
        <f t="shared" si="106"/>
        <v/>
      </c>
      <c r="AH1152" t="str">
        <f t="shared" si="107"/>
        <v/>
      </c>
      <c r="AI1152" t="e">
        <f t="shared" si="108"/>
        <v>#N/A</v>
      </c>
      <c r="AJ1152" s="6" t="e">
        <f t="shared" si="109"/>
        <v>#N/A</v>
      </c>
      <c r="AK1152" s="19" t="e">
        <f t="shared" si="110"/>
        <v>#N/A</v>
      </c>
    </row>
    <row r="1153" spans="33:37">
      <c r="AG1153" s="41" t="str">
        <f t="shared" si="106"/>
        <v/>
      </c>
      <c r="AH1153" t="str">
        <f t="shared" si="107"/>
        <v/>
      </c>
      <c r="AI1153" t="e">
        <f t="shared" si="108"/>
        <v>#N/A</v>
      </c>
      <c r="AJ1153" s="6" t="e">
        <f t="shared" si="109"/>
        <v>#N/A</v>
      </c>
      <c r="AK1153" s="19" t="e">
        <f t="shared" si="110"/>
        <v>#N/A</v>
      </c>
    </row>
    <row r="1154" spans="33:37">
      <c r="AG1154" s="41" t="str">
        <f t="shared" si="106"/>
        <v/>
      </c>
      <c r="AH1154" t="str">
        <f t="shared" si="107"/>
        <v/>
      </c>
      <c r="AI1154" t="e">
        <f t="shared" si="108"/>
        <v>#N/A</v>
      </c>
      <c r="AJ1154" s="6" t="e">
        <f t="shared" si="109"/>
        <v>#N/A</v>
      </c>
      <c r="AK1154" s="19" t="e">
        <f t="shared" si="110"/>
        <v>#N/A</v>
      </c>
    </row>
    <row r="1155" spans="33:37">
      <c r="AG1155" s="41" t="str">
        <f t="shared" si="106"/>
        <v/>
      </c>
      <c r="AH1155" t="str">
        <f t="shared" si="107"/>
        <v/>
      </c>
      <c r="AI1155" t="e">
        <f t="shared" si="108"/>
        <v>#N/A</v>
      </c>
      <c r="AJ1155" s="6" t="e">
        <f t="shared" si="109"/>
        <v>#N/A</v>
      </c>
      <c r="AK1155" s="19" t="e">
        <f t="shared" si="110"/>
        <v>#N/A</v>
      </c>
    </row>
    <row r="1156" spans="33:37">
      <c r="AG1156" s="41" t="str">
        <f t="shared" si="106"/>
        <v/>
      </c>
      <c r="AH1156" t="str">
        <f t="shared" si="107"/>
        <v/>
      </c>
      <c r="AI1156" t="e">
        <f t="shared" si="108"/>
        <v>#N/A</v>
      </c>
      <c r="AJ1156" s="6" t="e">
        <f t="shared" si="109"/>
        <v>#N/A</v>
      </c>
      <c r="AK1156" s="19" t="e">
        <f t="shared" si="110"/>
        <v>#N/A</v>
      </c>
    </row>
    <row r="1157" spans="33:37">
      <c r="AG1157" s="41" t="str">
        <f t="shared" ref="AG1157:AG1220" si="111">IF(AG1156&lt;$AF$4,AG1156+1,"")</f>
        <v/>
      </c>
      <c r="AH1157" t="str">
        <f t="shared" si="107"/>
        <v/>
      </c>
      <c r="AI1157" t="e">
        <f t="shared" si="108"/>
        <v>#N/A</v>
      </c>
      <c r="AJ1157" s="6" t="e">
        <f t="shared" si="109"/>
        <v>#N/A</v>
      </c>
      <c r="AK1157" s="19" t="e">
        <f t="shared" si="110"/>
        <v>#N/A</v>
      </c>
    </row>
    <row r="1158" spans="33:37">
      <c r="AG1158" s="41" t="str">
        <f t="shared" si="111"/>
        <v/>
      </c>
      <c r="AH1158" t="str">
        <f t="shared" si="107"/>
        <v/>
      </c>
      <c r="AI1158" t="e">
        <f t="shared" si="108"/>
        <v>#N/A</v>
      </c>
      <c r="AJ1158" s="6" t="e">
        <f t="shared" si="109"/>
        <v>#N/A</v>
      </c>
      <c r="AK1158" s="19" t="e">
        <f t="shared" si="110"/>
        <v>#N/A</v>
      </c>
    </row>
    <row r="1159" spans="33:37">
      <c r="AG1159" s="41" t="str">
        <f t="shared" si="111"/>
        <v/>
      </c>
      <c r="AH1159" t="str">
        <f t="shared" si="107"/>
        <v/>
      </c>
      <c r="AI1159" t="e">
        <f t="shared" si="108"/>
        <v>#N/A</v>
      </c>
      <c r="AJ1159" s="6" t="e">
        <f t="shared" si="109"/>
        <v>#N/A</v>
      </c>
      <c r="AK1159" s="19" t="e">
        <f t="shared" si="110"/>
        <v>#N/A</v>
      </c>
    </row>
    <row r="1160" spans="33:37">
      <c r="AG1160" s="41" t="str">
        <f t="shared" si="111"/>
        <v/>
      </c>
      <c r="AH1160" t="str">
        <f t="shared" si="107"/>
        <v/>
      </c>
      <c r="AI1160" t="e">
        <f t="shared" si="108"/>
        <v>#N/A</v>
      </c>
      <c r="AJ1160" s="6" t="e">
        <f t="shared" si="109"/>
        <v>#N/A</v>
      </c>
      <c r="AK1160" s="19" t="e">
        <f t="shared" si="110"/>
        <v>#N/A</v>
      </c>
    </row>
    <row r="1161" spans="33:37">
      <c r="AG1161" s="41" t="str">
        <f t="shared" si="111"/>
        <v/>
      </c>
      <c r="AH1161" t="str">
        <f t="shared" si="107"/>
        <v/>
      </c>
      <c r="AI1161" t="e">
        <f t="shared" si="108"/>
        <v>#N/A</v>
      </c>
      <c r="AJ1161" s="6" t="e">
        <f t="shared" si="109"/>
        <v>#N/A</v>
      </c>
      <c r="AK1161" s="19" t="e">
        <f t="shared" si="110"/>
        <v>#N/A</v>
      </c>
    </row>
    <row r="1162" spans="33:37">
      <c r="AG1162" s="41" t="str">
        <f t="shared" si="111"/>
        <v/>
      </c>
      <c r="AH1162" t="str">
        <f t="shared" si="107"/>
        <v/>
      </c>
      <c r="AI1162" t="e">
        <f t="shared" si="108"/>
        <v>#N/A</v>
      </c>
      <c r="AJ1162" s="6" t="e">
        <f t="shared" si="109"/>
        <v>#N/A</v>
      </c>
      <c r="AK1162" s="19" t="e">
        <f t="shared" si="110"/>
        <v>#N/A</v>
      </c>
    </row>
    <row r="1163" spans="33:37">
      <c r="AG1163" s="41" t="str">
        <f t="shared" si="111"/>
        <v/>
      </c>
      <c r="AH1163" t="str">
        <f t="shared" si="107"/>
        <v/>
      </c>
      <c r="AI1163" t="e">
        <f t="shared" si="108"/>
        <v>#N/A</v>
      </c>
      <c r="AJ1163" s="6" t="e">
        <f t="shared" si="109"/>
        <v>#N/A</v>
      </c>
      <c r="AK1163" s="19" t="e">
        <f t="shared" si="110"/>
        <v>#N/A</v>
      </c>
    </row>
    <row r="1164" spans="33:37">
      <c r="AG1164" s="41" t="str">
        <f t="shared" si="111"/>
        <v/>
      </c>
      <c r="AH1164" t="str">
        <f t="shared" si="107"/>
        <v/>
      </c>
      <c r="AI1164" t="e">
        <f t="shared" si="108"/>
        <v>#N/A</v>
      </c>
      <c r="AJ1164" s="6" t="e">
        <f t="shared" si="109"/>
        <v>#N/A</v>
      </c>
      <c r="AK1164" s="19" t="e">
        <f t="shared" si="110"/>
        <v>#N/A</v>
      </c>
    </row>
    <row r="1165" spans="33:37">
      <c r="AG1165" s="41" t="str">
        <f t="shared" si="111"/>
        <v/>
      </c>
      <c r="AH1165" t="str">
        <f t="shared" si="107"/>
        <v/>
      </c>
      <c r="AI1165" t="e">
        <f t="shared" si="108"/>
        <v>#N/A</v>
      </c>
      <c r="AJ1165" s="6" t="e">
        <f t="shared" si="109"/>
        <v>#N/A</v>
      </c>
      <c r="AK1165" s="19" t="e">
        <f t="shared" si="110"/>
        <v>#N/A</v>
      </c>
    </row>
    <row r="1166" spans="33:37">
      <c r="AG1166" s="41" t="str">
        <f t="shared" si="111"/>
        <v/>
      </c>
      <c r="AH1166" t="str">
        <f t="shared" si="107"/>
        <v/>
      </c>
      <c r="AI1166" t="e">
        <f t="shared" si="108"/>
        <v>#N/A</v>
      </c>
      <c r="AJ1166" s="6" t="e">
        <f t="shared" si="109"/>
        <v>#N/A</v>
      </c>
      <c r="AK1166" s="19" t="e">
        <f t="shared" si="110"/>
        <v>#N/A</v>
      </c>
    </row>
    <row r="1167" spans="33:37">
      <c r="AG1167" s="41" t="str">
        <f t="shared" si="111"/>
        <v/>
      </c>
      <c r="AH1167" t="str">
        <f t="shared" si="107"/>
        <v/>
      </c>
      <c r="AI1167" t="e">
        <f t="shared" si="108"/>
        <v>#N/A</v>
      </c>
      <c r="AJ1167" s="6" t="e">
        <f t="shared" si="109"/>
        <v>#N/A</v>
      </c>
      <c r="AK1167" s="19" t="e">
        <f t="shared" si="110"/>
        <v>#N/A</v>
      </c>
    </row>
    <row r="1168" spans="33:37">
      <c r="AG1168" s="41" t="str">
        <f t="shared" si="111"/>
        <v/>
      </c>
      <c r="AH1168" t="str">
        <f t="shared" si="107"/>
        <v/>
      </c>
      <c r="AI1168" t="e">
        <f t="shared" si="108"/>
        <v>#N/A</v>
      </c>
      <c r="AJ1168" s="6" t="e">
        <f t="shared" si="109"/>
        <v>#N/A</v>
      </c>
      <c r="AK1168" s="19" t="e">
        <f t="shared" si="110"/>
        <v>#N/A</v>
      </c>
    </row>
    <row r="1169" spans="33:37">
      <c r="AG1169" s="41" t="str">
        <f t="shared" si="111"/>
        <v/>
      </c>
      <c r="AH1169" t="str">
        <f t="shared" si="107"/>
        <v/>
      </c>
      <c r="AI1169" t="e">
        <f t="shared" si="108"/>
        <v>#N/A</v>
      </c>
      <c r="AJ1169" s="6" t="e">
        <f t="shared" si="109"/>
        <v>#N/A</v>
      </c>
      <c r="AK1169" s="19" t="e">
        <f t="shared" si="110"/>
        <v>#N/A</v>
      </c>
    </row>
    <row r="1170" spans="33:37">
      <c r="AG1170" s="41" t="str">
        <f t="shared" si="111"/>
        <v/>
      </c>
      <c r="AH1170" t="str">
        <f t="shared" si="107"/>
        <v/>
      </c>
      <c r="AI1170" t="e">
        <f t="shared" si="108"/>
        <v>#N/A</v>
      </c>
      <c r="AJ1170" s="6" t="e">
        <f t="shared" si="109"/>
        <v>#N/A</v>
      </c>
      <c r="AK1170" s="19" t="e">
        <f t="shared" si="110"/>
        <v>#N/A</v>
      </c>
    </row>
    <row r="1171" spans="33:37">
      <c r="AG1171" s="41" t="str">
        <f t="shared" si="111"/>
        <v/>
      </c>
      <c r="AH1171" t="str">
        <f t="shared" si="107"/>
        <v/>
      </c>
      <c r="AI1171" t="e">
        <f t="shared" si="108"/>
        <v>#N/A</v>
      </c>
      <c r="AJ1171" s="6" t="e">
        <f t="shared" si="109"/>
        <v>#N/A</v>
      </c>
      <c r="AK1171" s="19" t="e">
        <f t="shared" si="110"/>
        <v>#N/A</v>
      </c>
    </row>
    <row r="1172" spans="33:37">
      <c r="AG1172" s="41" t="str">
        <f t="shared" si="111"/>
        <v/>
      </c>
      <c r="AH1172" t="str">
        <f t="shared" si="107"/>
        <v/>
      </c>
      <c r="AI1172" t="e">
        <f t="shared" si="108"/>
        <v>#N/A</v>
      </c>
      <c r="AJ1172" s="6" t="e">
        <f t="shared" si="109"/>
        <v>#N/A</v>
      </c>
      <c r="AK1172" s="19" t="e">
        <f t="shared" si="110"/>
        <v>#N/A</v>
      </c>
    </row>
    <row r="1173" spans="33:37">
      <c r="AG1173" s="41" t="str">
        <f t="shared" si="111"/>
        <v/>
      </c>
      <c r="AH1173" t="str">
        <f t="shared" si="107"/>
        <v/>
      </c>
      <c r="AI1173" t="e">
        <f t="shared" si="108"/>
        <v>#N/A</v>
      </c>
      <c r="AJ1173" s="6" t="e">
        <f t="shared" si="109"/>
        <v>#N/A</v>
      </c>
      <c r="AK1173" s="19" t="e">
        <f t="shared" si="110"/>
        <v>#N/A</v>
      </c>
    </row>
    <row r="1174" spans="33:37">
      <c r="AG1174" s="41" t="str">
        <f t="shared" si="111"/>
        <v/>
      </c>
      <c r="AH1174" t="str">
        <f t="shared" si="107"/>
        <v/>
      </c>
      <c r="AI1174" t="e">
        <f t="shared" si="108"/>
        <v>#N/A</v>
      </c>
      <c r="AJ1174" s="6" t="e">
        <f t="shared" si="109"/>
        <v>#N/A</v>
      </c>
      <c r="AK1174" s="19" t="e">
        <f t="shared" si="110"/>
        <v>#N/A</v>
      </c>
    </row>
    <row r="1175" spans="33:37">
      <c r="AG1175" s="41" t="str">
        <f t="shared" si="111"/>
        <v/>
      </c>
      <c r="AH1175" t="str">
        <f t="shared" si="107"/>
        <v/>
      </c>
      <c r="AI1175" t="e">
        <f t="shared" si="108"/>
        <v>#N/A</v>
      </c>
      <c r="AJ1175" s="6" t="e">
        <f t="shared" si="109"/>
        <v>#N/A</v>
      </c>
      <c r="AK1175" s="19" t="e">
        <f t="shared" si="110"/>
        <v>#N/A</v>
      </c>
    </row>
    <row r="1176" spans="33:37">
      <c r="AG1176" s="41" t="str">
        <f t="shared" si="111"/>
        <v/>
      </c>
      <c r="AH1176" t="str">
        <f t="shared" si="107"/>
        <v/>
      </c>
      <c r="AI1176" t="e">
        <f t="shared" si="108"/>
        <v>#N/A</v>
      </c>
      <c r="AJ1176" s="6" t="e">
        <f t="shared" si="109"/>
        <v>#N/A</v>
      </c>
      <c r="AK1176" s="19" t="e">
        <f t="shared" si="110"/>
        <v>#N/A</v>
      </c>
    </row>
    <row r="1177" spans="33:37">
      <c r="AG1177" s="41" t="str">
        <f t="shared" si="111"/>
        <v/>
      </c>
      <c r="AH1177" t="str">
        <f t="shared" si="107"/>
        <v/>
      </c>
      <c r="AI1177" t="e">
        <f t="shared" si="108"/>
        <v>#N/A</v>
      </c>
      <c r="AJ1177" s="6" t="e">
        <f t="shared" si="109"/>
        <v>#N/A</v>
      </c>
      <c r="AK1177" s="19" t="e">
        <f t="shared" si="110"/>
        <v>#N/A</v>
      </c>
    </row>
    <row r="1178" spans="33:37">
      <c r="AG1178" s="41" t="str">
        <f t="shared" si="111"/>
        <v/>
      </c>
      <c r="AH1178" t="str">
        <f t="shared" si="107"/>
        <v/>
      </c>
      <c r="AI1178" t="e">
        <f t="shared" si="108"/>
        <v>#N/A</v>
      </c>
      <c r="AJ1178" s="6" t="e">
        <f t="shared" si="109"/>
        <v>#N/A</v>
      </c>
      <c r="AK1178" s="19" t="e">
        <f t="shared" si="110"/>
        <v>#N/A</v>
      </c>
    </row>
    <row r="1179" spans="33:37">
      <c r="AG1179" s="41" t="str">
        <f t="shared" si="111"/>
        <v/>
      </c>
      <c r="AH1179" t="str">
        <f t="shared" si="107"/>
        <v/>
      </c>
      <c r="AI1179" t="e">
        <f t="shared" si="108"/>
        <v>#N/A</v>
      </c>
      <c r="AJ1179" s="6" t="e">
        <f t="shared" si="109"/>
        <v>#N/A</v>
      </c>
      <c r="AK1179" s="19" t="e">
        <f t="shared" si="110"/>
        <v>#N/A</v>
      </c>
    </row>
    <row r="1180" spans="33:37">
      <c r="AG1180" s="41" t="str">
        <f t="shared" si="111"/>
        <v/>
      </c>
      <c r="AH1180" t="str">
        <f t="shared" si="107"/>
        <v/>
      </c>
      <c r="AI1180" t="e">
        <f t="shared" si="108"/>
        <v>#N/A</v>
      </c>
      <c r="AJ1180" s="6" t="e">
        <f t="shared" si="109"/>
        <v>#N/A</v>
      </c>
      <c r="AK1180" s="19" t="e">
        <f t="shared" si="110"/>
        <v>#N/A</v>
      </c>
    </row>
    <row r="1181" spans="33:37">
      <c r="AG1181" s="41" t="str">
        <f t="shared" si="111"/>
        <v/>
      </c>
      <c r="AH1181" t="str">
        <f t="shared" si="107"/>
        <v/>
      </c>
      <c r="AI1181" t="e">
        <f t="shared" si="108"/>
        <v>#N/A</v>
      </c>
      <c r="AJ1181" s="6" t="e">
        <f t="shared" si="109"/>
        <v>#N/A</v>
      </c>
      <c r="AK1181" s="19" t="e">
        <f t="shared" si="110"/>
        <v>#N/A</v>
      </c>
    </row>
    <row r="1182" spans="33:37">
      <c r="AG1182" s="41" t="str">
        <f t="shared" si="111"/>
        <v/>
      </c>
      <c r="AH1182" t="str">
        <f t="shared" si="107"/>
        <v/>
      </c>
      <c r="AI1182" t="e">
        <f t="shared" si="108"/>
        <v>#N/A</v>
      </c>
      <c r="AJ1182" s="6" t="e">
        <f t="shared" si="109"/>
        <v>#N/A</v>
      </c>
      <c r="AK1182" s="19" t="e">
        <f t="shared" si="110"/>
        <v>#N/A</v>
      </c>
    </row>
    <row r="1183" spans="33:37">
      <c r="AG1183" s="41" t="str">
        <f t="shared" si="111"/>
        <v/>
      </c>
      <c r="AH1183" t="str">
        <f t="shared" si="107"/>
        <v/>
      </c>
      <c r="AI1183" t="e">
        <f t="shared" si="108"/>
        <v>#N/A</v>
      </c>
      <c r="AJ1183" s="6" t="e">
        <f t="shared" si="109"/>
        <v>#N/A</v>
      </c>
      <c r="AK1183" s="19" t="e">
        <f t="shared" si="110"/>
        <v>#N/A</v>
      </c>
    </row>
    <row r="1184" spans="33:37">
      <c r="AG1184" s="41" t="str">
        <f t="shared" si="111"/>
        <v/>
      </c>
      <c r="AH1184" t="str">
        <f t="shared" si="107"/>
        <v/>
      </c>
      <c r="AI1184" t="e">
        <f t="shared" si="108"/>
        <v>#N/A</v>
      </c>
      <c r="AJ1184" s="6" t="e">
        <f t="shared" si="109"/>
        <v>#N/A</v>
      </c>
      <c r="AK1184" s="19" t="e">
        <f t="shared" si="110"/>
        <v>#N/A</v>
      </c>
    </row>
    <row r="1185" spans="33:37">
      <c r="AG1185" s="41" t="str">
        <f t="shared" si="111"/>
        <v/>
      </c>
      <c r="AH1185" t="str">
        <f t="shared" si="107"/>
        <v/>
      </c>
      <c r="AI1185" t="e">
        <f t="shared" si="108"/>
        <v>#N/A</v>
      </c>
      <c r="AJ1185" s="6" t="e">
        <f t="shared" si="109"/>
        <v>#N/A</v>
      </c>
      <c r="AK1185" s="19" t="e">
        <f t="shared" si="110"/>
        <v>#N/A</v>
      </c>
    </row>
    <row r="1186" spans="33:37">
      <c r="AG1186" s="41" t="str">
        <f t="shared" si="111"/>
        <v/>
      </c>
      <c r="AH1186" t="str">
        <f t="shared" si="107"/>
        <v/>
      </c>
      <c r="AI1186" t="e">
        <f t="shared" si="108"/>
        <v>#N/A</v>
      </c>
      <c r="AJ1186" s="6" t="e">
        <f t="shared" si="109"/>
        <v>#N/A</v>
      </c>
      <c r="AK1186" s="19" t="e">
        <f t="shared" si="110"/>
        <v>#N/A</v>
      </c>
    </row>
    <row r="1187" spans="33:37">
      <c r="AG1187" s="41" t="str">
        <f t="shared" si="111"/>
        <v/>
      </c>
      <c r="AH1187" t="str">
        <f t="shared" si="107"/>
        <v/>
      </c>
      <c r="AI1187" t="e">
        <f t="shared" si="108"/>
        <v>#N/A</v>
      </c>
      <c r="AJ1187" s="6" t="e">
        <f t="shared" si="109"/>
        <v>#N/A</v>
      </c>
      <c r="AK1187" s="19" t="e">
        <f t="shared" si="110"/>
        <v>#N/A</v>
      </c>
    </row>
    <row r="1188" spans="33:37">
      <c r="AG1188" s="41" t="str">
        <f t="shared" si="111"/>
        <v/>
      </c>
      <c r="AH1188" t="str">
        <f t="shared" si="107"/>
        <v/>
      </c>
      <c r="AI1188" t="e">
        <f t="shared" si="108"/>
        <v>#N/A</v>
      </c>
      <c r="AJ1188" s="6" t="e">
        <f t="shared" si="109"/>
        <v>#N/A</v>
      </c>
      <c r="AK1188" s="19" t="e">
        <f t="shared" si="110"/>
        <v>#N/A</v>
      </c>
    </row>
    <row r="1189" spans="33:37">
      <c r="AG1189" s="41" t="str">
        <f t="shared" si="111"/>
        <v/>
      </c>
      <c r="AH1189" t="str">
        <f t="shared" si="107"/>
        <v/>
      </c>
      <c r="AI1189" t="e">
        <f t="shared" si="108"/>
        <v>#N/A</v>
      </c>
      <c r="AJ1189" s="6" t="e">
        <f t="shared" si="109"/>
        <v>#N/A</v>
      </c>
      <c r="AK1189" s="19" t="e">
        <f t="shared" si="110"/>
        <v>#N/A</v>
      </c>
    </row>
    <row r="1190" spans="33:37">
      <c r="AG1190" s="41" t="str">
        <f t="shared" si="111"/>
        <v/>
      </c>
      <c r="AH1190" t="str">
        <f t="shared" si="107"/>
        <v/>
      </c>
      <c r="AI1190" t="e">
        <f t="shared" si="108"/>
        <v>#N/A</v>
      </c>
      <c r="AJ1190" s="6" t="e">
        <f t="shared" si="109"/>
        <v>#N/A</v>
      </c>
      <c r="AK1190" s="19" t="e">
        <f t="shared" si="110"/>
        <v>#N/A</v>
      </c>
    </row>
    <row r="1191" spans="33:37">
      <c r="AG1191" s="41" t="str">
        <f t="shared" si="111"/>
        <v/>
      </c>
      <c r="AH1191" t="str">
        <f t="shared" si="107"/>
        <v/>
      </c>
      <c r="AI1191" t="e">
        <f t="shared" si="108"/>
        <v>#N/A</v>
      </c>
      <c r="AJ1191" s="6" t="e">
        <f t="shared" si="109"/>
        <v>#N/A</v>
      </c>
      <c r="AK1191" s="19" t="e">
        <f t="shared" si="110"/>
        <v>#N/A</v>
      </c>
    </row>
    <row r="1192" spans="33:37">
      <c r="AG1192" s="41" t="str">
        <f t="shared" si="111"/>
        <v/>
      </c>
      <c r="AH1192" t="str">
        <f t="shared" si="107"/>
        <v/>
      </c>
      <c r="AI1192" t="e">
        <f t="shared" si="108"/>
        <v>#N/A</v>
      </c>
      <c r="AJ1192" s="6" t="e">
        <f t="shared" si="109"/>
        <v>#N/A</v>
      </c>
      <c r="AK1192" s="19" t="e">
        <f t="shared" si="110"/>
        <v>#N/A</v>
      </c>
    </row>
    <row r="1193" spans="33:37">
      <c r="AG1193" s="41" t="str">
        <f t="shared" si="111"/>
        <v/>
      </c>
      <c r="AH1193" t="str">
        <f t="shared" si="107"/>
        <v/>
      </c>
      <c r="AI1193" t="e">
        <f t="shared" si="108"/>
        <v>#N/A</v>
      </c>
      <c r="AJ1193" s="6" t="e">
        <f t="shared" si="109"/>
        <v>#N/A</v>
      </c>
      <c r="AK1193" s="19" t="e">
        <f t="shared" si="110"/>
        <v>#N/A</v>
      </c>
    </row>
    <row r="1194" spans="33:37">
      <c r="AG1194" s="41" t="str">
        <f t="shared" si="111"/>
        <v/>
      </c>
      <c r="AH1194" t="str">
        <f t="shared" si="107"/>
        <v/>
      </c>
      <c r="AI1194" t="e">
        <f t="shared" si="108"/>
        <v>#N/A</v>
      </c>
      <c r="AJ1194" s="6" t="e">
        <f t="shared" si="109"/>
        <v>#N/A</v>
      </c>
      <c r="AK1194" s="19" t="e">
        <f t="shared" si="110"/>
        <v>#N/A</v>
      </c>
    </row>
    <row r="1195" spans="33:37">
      <c r="AG1195" s="41" t="str">
        <f t="shared" si="111"/>
        <v/>
      </c>
      <c r="AH1195" t="str">
        <f t="shared" si="107"/>
        <v/>
      </c>
      <c r="AI1195" t="e">
        <f t="shared" si="108"/>
        <v>#N/A</v>
      </c>
      <c r="AJ1195" s="6" t="e">
        <f t="shared" si="109"/>
        <v>#N/A</v>
      </c>
      <c r="AK1195" s="19" t="e">
        <f t="shared" si="110"/>
        <v>#N/A</v>
      </c>
    </row>
    <row r="1196" spans="33:37">
      <c r="AG1196" s="41" t="str">
        <f t="shared" si="111"/>
        <v/>
      </c>
      <c r="AH1196" t="str">
        <f t="shared" si="107"/>
        <v/>
      </c>
      <c r="AI1196" t="e">
        <f t="shared" si="108"/>
        <v>#N/A</v>
      </c>
      <c r="AJ1196" s="6" t="e">
        <f t="shared" si="109"/>
        <v>#N/A</v>
      </c>
      <c r="AK1196" s="19" t="e">
        <f t="shared" si="110"/>
        <v>#N/A</v>
      </c>
    </row>
    <row r="1197" spans="33:37">
      <c r="AG1197" s="41" t="str">
        <f t="shared" si="111"/>
        <v/>
      </c>
      <c r="AH1197" t="str">
        <f t="shared" si="107"/>
        <v/>
      </c>
      <c r="AI1197" t="e">
        <f t="shared" si="108"/>
        <v>#N/A</v>
      </c>
      <c r="AJ1197" s="6" t="e">
        <f t="shared" si="109"/>
        <v>#N/A</v>
      </c>
      <c r="AK1197" s="19" t="e">
        <f t="shared" si="110"/>
        <v>#N/A</v>
      </c>
    </row>
    <row r="1198" spans="33:37">
      <c r="AG1198" s="41" t="str">
        <f t="shared" si="111"/>
        <v/>
      </c>
      <c r="AH1198" t="str">
        <f t="shared" si="107"/>
        <v/>
      </c>
      <c r="AI1198" t="e">
        <f t="shared" si="108"/>
        <v>#N/A</v>
      </c>
      <c r="AJ1198" s="6" t="e">
        <f t="shared" si="109"/>
        <v>#N/A</v>
      </c>
      <c r="AK1198" s="19" t="e">
        <f t="shared" si="110"/>
        <v>#N/A</v>
      </c>
    </row>
    <row r="1199" spans="33:37">
      <c r="AG1199" s="41" t="str">
        <f t="shared" si="111"/>
        <v/>
      </c>
      <c r="AH1199" t="str">
        <f t="shared" si="107"/>
        <v/>
      </c>
      <c r="AI1199" t="e">
        <f t="shared" si="108"/>
        <v>#N/A</v>
      </c>
      <c r="AJ1199" s="6" t="e">
        <f t="shared" si="109"/>
        <v>#N/A</v>
      </c>
      <c r="AK1199" s="19" t="e">
        <f t="shared" si="110"/>
        <v>#N/A</v>
      </c>
    </row>
    <row r="1200" spans="33:37">
      <c r="AG1200" s="41" t="str">
        <f t="shared" si="111"/>
        <v/>
      </c>
      <c r="AH1200" t="str">
        <f t="shared" si="107"/>
        <v/>
      </c>
      <c r="AI1200" t="e">
        <f t="shared" si="108"/>
        <v>#N/A</v>
      </c>
      <c r="AJ1200" s="6" t="e">
        <f t="shared" si="109"/>
        <v>#N/A</v>
      </c>
      <c r="AK1200" s="19" t="e">
        <f t="shared" si="110"/>
        <v>#N/A</v>
      </c>
    </row>
    <row r="1201" spans="33:37">
      <c r="AG1201" s="41" t="str">
        <f t="shared" si="111"/>
        <v/>
      </c>
      <c r="AH1201" t="str">
        <f t="shared" si="107"/>
        <v/>
      </c>
      <c r="AI1201" t="e">
        <f t="shared" si="108"/>
        <v>#N/A</v>
      </c>
      <c r="AJ1201" s="6" t="e">
        <f t="shared" si="109"/>
        <v>#N/A</v>
      </c>
      <c r="AK1201" s="19" t="e">
        <f t="shared" si="110"/>
        <v>#N/A</v>
      </c>
    </row>
    <row r="1202" spans="33:37">
      <c r="AG1202" s="41" t="str">
        <f t="shared" si="111"/>
        <v/>
      </c>
      <c r="AH1202" t="str">
        <f t="shared" si="107"/>
        <v/>
      </c>
      <c r="AI1202" t="e">
        <f t="shared" si="108"/>
        <v>#N/A</v>
      </c>
      <c r="AJ1202" s="6" t="e">
        <f t="shared" si="109"/>
        <v>#N/A</v>
      </c>
      <c r="AK1202" s="19" t="e">
        <f t="shared" si="110"/>
        <v>#N/A</v>
      </c>
    </row>
    <row r="1203" spans="33:37">
      <c r="AG1203" s="41" t="str">
        <f t="shared" si="111"/>
        <v/>
      </c>
      <c r="AH1203" t="str">
        <f t="shared" si="107"/>
        <v/>
      </c>
      <c r="AI1203" t="e">
        <f t="shared" si="108"/>
        <v>#N/A</v>
      </c>
      <c r="AJ1203" s="6" t="e">
        <f t="shared" si="109"/>
        <v>#N/A</v>
      </c>
      <c r="AK1203" s="19" t="e">
        <f t="shared" si="110"/>
        <v>#N/A</v>
      </c>
    </row>
    <row r="1204" spans="33:37">
      <c r="AG1204" s="41" t="str">
        <f t="shared" si="111"/>
        <v/>
      </c>
      <c r="AH1204" t="str">
        <f t="shared" si="107"/>
        <v/>
      </c>
      <c r="AI1204" t="e">
        <f t="shared" si="108"/>
        <v>#N/A</v>
      </c>
      <c r="AJ1204" s="6" t="e">
        <f t="shared" si="109"/>
        <v>#N/A</v>
      </c>
      <c r="AK1204" s="19" t="e">
        <f t="shared" si="110"/>
        <v>#N/A</v>
      </c>
    </row>
    <row r="1205" spans="33:37">
      <c r="AG1205" s="41" t="str">
        <f t="shared" si="111"/>
        <v/>
      </c>
      <c r="AH1205" t="str">
        <f t="shared" si="107"/>
        <v/>
      </c>
      <c r="AI1205" t="e">
        <f t="shared" si="108"/>
        <v>#N/A</v>
      </c>
      <c r="AJ1205" s="6" t="e">
        <f t="shared" si="109"/>
        <v>#N/A</v>
      </c>
      <c r="AK1205" s="19" t="e">
        <f t="shared" si="110"/>
        <v>#N/A</v>
      </c>
    </row>
    <row r="1206" spans="33:37">
      <c r="AG1206" s="41" t="str">
        <f t="shared" si="111"/>
        <v/>
      </c>
      <c r="AH1206" t="str">
        <f t="shared" si="107"/>
        <v/>
      </c>
      <c r="AI1206" t="e">
        <f t="shared" si="108"/>
        <v>#N/A</v>
      </c>
      <c r="AJ1206" s="6" t="e">
        <f t="shared" si="109"/>
        <v>#N/A</v>
      </c>
      <c r="AK1206" s="19" t="e">
        <f t="shared" si="110"/>
        <v>#N/A</v>
      </c>
    </row>
    <row r="1207" spans="33:37">
      <c r="AG1207" s="41" t="str">
        <f t="shared" si="111"/>
        <v/>
      </c>
      <c r="AH1207" t="str">
        <f t="shared" si="107"/>
        <v/>
      </c>
      <c r="AI1207" t="e">
        <f t="shared" si="108"/>
        <v>#N/A</v>
      </c>
      <c r="AJ1207" s="6" t="e">
        <f t="shared" si="109"/>
        <v>#N/A</v>
      </c>
      <c r="AK1207" s="19" t="e">
        <f t="shared" si="110"/>
        <v>#N/A</v>
      </c>
    </row>
    <row r="1208" spans="33:37">
      <c r="AG1208" s="41" t="str">
        <f t="shared" si="111"/>
        <v/>
      </c>
      <c r="AH1208" t="str">
        <f t="shared" si="107"/>
        <v/>
      </c>
      <c r="AI1208" t="e">
        <f t="shared" si="108"/>
        <v>#N/A</v>
      </c>
      <c r="AJ1208" s="6" t="e">
        <f t="shared" si="109"/>
        <v>#N/A</v>
      </c>
      <c r="AK1208" s="19" t="e">
        <f t="shared" si="110"/>
        <v>#N/A</v>
      </c>
    </row>
    <row r="1209" spans="33:37">
      <c r="AG1209" s="41" t="str">
        <f t="shared" si="111"/>
        <v/>
      </c>
      <c r="AH1209" t="str">
        <f t="shared" ref="AH1209:AH1253" si="112">IF(AG1209&lt;&gt;"",MID($AE$4,AG1209,1),"")</f>
        <v/>
      </c>
      <c r="AI1209" t="e">
        <f t="shared" ref="AI1209:AI1253" si="113">IFERROR(VLOOKUP(AH1209,$AA$4:$AB$13,2,0),VLOOKUP(AH1209,$AC$4:$AD$13,2,0))</f>
        <v>#N/A</v>
      </c>
      <c r="AJ1209" s="6" t="e">
        <f t="shared" ref="AJ1209:AJ1253" si="114">IF(AND(AI1208="Rg",AI1210="Rg"),"2Rg",IF(AND(AI1208="Rg",AI1210="Fx"),"RgFx",IF(AND(AI1208="Fx",AI1210="Rg"),"RgFx",IF(AND(AI1208="Fx",AI1210="Fx"),"2Fx",""))))</f>
        <v>#N/A</v>
      </c>
      <c r="AK1209" s="19" t="e">
        <f t="shared" ref="AK1209:AK1253" si="115">IF(AJ1209&lt;&gt;"",VLOOKUP(AJ1209,mv,HLOOKUP(AH1209,mh,2,0),0),"")</f>
        <v>#N/A</v>
      </c>
    </row>
    <row r="1210" spans="33:37">
      <c r="AG1210" s="41" t="str">
        <f t="shared" si="111"/>
        <v/>
      </c>
      <c r="AH1210" t="str">
        <f t="shared" si="112"/>
        <v/>
      </c>
      <c r="AI1210" t="e">
        <f t="shared" si="113"/>
        <v>#N/A</v>
      </c>
      <c r="AJ1210" s="6" t="e">
        <f t="shared" si="114"/>
        <v>#N/A</v>
      </c>
      <c r="AK1210" s="19" t="e">
        <f t="shared" si="115"/>
        <v>#N/A</v>
      </c>
    </row>
    <row r="1211" spans="33:37">
      <c r="AG1211" s="41" t="str">
        <f t="shared" si="111"/>
        <v/>
      </c>
      <c r="AH1211" t="str">
        <f t="shared" si="112"/>
        <v/>
      </c>
      <c r="AI1211" t="e">
        <f t="shared" si="113"/>
        <v>#N/A</v>
      </c>
      <c r="AJ1211" s="6" t="e">
        <f t="shared" si="114"/>
        <v>#N/A</v>
      </c>
      <c r="AK1211" s="19" t="e">
        <f t="shared" si="115"/>
        <v>#N/A</v>
      </c>
    </row>
    <row r="1212" spans="33:37">
      <c r="AG1212" s="41" t="str">
        <f t="shared" si="111"/>
        <v/>
      </c>
      <c r="AH1212" t="str">
        <f t="shared" si="112"/>
        <v/>
      </c>
      <c r="AI1212" t="e">
        <f t="shared" si="113"/>
        <v>#N/A</v>
      </c>
      <c r="AJ1212" s="6" t="e">
        <f t="shared" si="114"/>
        <v>#N/A</v>
      </c>
      <c r="AK1212" s="19" t="e">
        <f t="shared" si="115"/>
        <v>#N/A</v>
      </c>
    </row>
    <row r="1213" spans="33:37">
      <c r="AG1213" s="41" t="str">
        <f t="shared" si="111"/>
        <v/>
      </c>
      <c r="AH1213" t="str">
        <f t="shared" si="112"/>
        <v/>
      </c>
      <c r="AI1213" t="e">
        <f t="shared" si="113"/>
        <v>#N/A</v>
      </c>
      <c r="AJ1213" s="6" t="e">
        <f t="shared" si="114"/>
        <v>#N/A</v>
      </c>
      <c r="AK1213" s="19" t="e">
        <f t="shared" si="115"/>
        <v>#N/A</v>
      </c>
    </row>
    <row r="1214" spans="33:37">
      <c r="AG1214" s="41" t="str">
        <f t="shared" si="111"/>
        <v/>
      </c>
      <c r="AH1214" t="str">
        <f t="shared" si="112"/>
        <v/>
      </c>
      <c r="AI1214" t="e">
        <f t="shared" si="113"/>
        <v>#N/A</v>
      </c>
      <c r="AJ1214" s="6" t="e">
        <f t="shared" si="114"/>
        <v>#N/A</v>
      </c>
      <c r="AK1214" s="19" t="e">
        <f t="shared" si="115"/>
        <v>#N/A</v>
      </c>
    </row>
    <row r="1215" spans="33:37">
      <c r="AG1215" s="41" t="str">
        <f t="shared" si="111"/>
        <v/>
      </c>
      <c r="AH1215" t="str">
        <f t="shared" si="112"/>
        <v/>
      </c>
      <c r="AI1215" t="e">
        <f t="shared" si="113"/>
        <v>#N/A</v>
      </c>
      <c r="AJ1215" s="6" t="e">
        <f t="shared" si="114"/>
        <v>#N/A</v>
      </c>
      <c r="AK1215" s="19" t="e">
        <f t="shared" si="115"/>
        <v>#N/A</v>
      </c>
    </row>
    <row r="1216" spans="33:37">
      <c r="AG1216" s="41" t="str">
        <f t="shared" si="111"/>
        <v/>
      </c>
      <c r="AH1216" t="str">
        <f t="shared" si="112"/>
        <v/>
      </c>
      <c r="AI1216" t="e">
        <f t="shared" si="113"/>
        <v>#N/A</v>
      </c>
      <c r="AJ1216" s="6" t="e">
        <f t="shared" si="114"/>
        <v>#N/A</v>
      </c>
      <c r="AK1216" s="19" t="e">
        <f t="shared" si="115"/>
        <v>#N/A</v>
      </c>
    </row>
    <row r="1217" spans="33:37">
      <c r="AG1217" s="41" t="str">
        <f t="shared" si="111"/>
        <v/>
      </c>
      <c r="AH1217" t="str">
        <f t="shared" si="112"/>
        <v/>
      </c>
      <c r="AI1217" t="e">
        <f t="shared" si="113"/>
        <v>#N/A</v>
      </c>
      <c r="AJ1217" s="6" t="e">
        <f t="shared" si="114"/>
        <v>#N/A</v>
      </c>
      <c r="AK1217" s="19" t="e">
        <f t="shared" si="115"/>
        <v>#N/A</v>
      </c>
    </row>
    <row r="1218" spans="33:37">
      <c r="AG1218" s="41" t="str">
        <f t="shared" si="111"/>
        <v/>
      </c>
      <c r="AH1218" t="str">
        <f t="shared" si="112"/>
        <v/>
      </c>
      <c r="AI1218" t="e">
        <f t="shared" si="113"/>
        <v>#N/A</v>
      </c>
      <c r="AJ1218" s="6" t="e">
        <f t="shared" si="114"/>
        <v>#N/A</v>
      </c>
      <c r="AK1218" s="19" t="e">
        <f t="shared" si="115"/>
        <v>#N/A</v>
      </c>
    </row>
    <row r="1219" spans="33:37">
      <c r="AG1219" s="41" t="str">
        <f t="shared" si="111"/>
        <v/>
      </c>
      <c r="AH1219" t="str">
        <f t="shared" si="112"/>
        <v/>
      </c>
      <c r="AI1219" t="e">
        <f t="shared" si="113"/>
        <v>#N/A</v>
      </c>
      <c r="AJ1219" s="6" t="e">
        <f t="shared" si="114"/>
        <v>#N/A</v>
      </c>
      <c r="AK1219" s="19" t="e">
        <f t="shared" si="115"/>
        <v>#N/A</v>
      </c>
    </row>
    <row r="1220" spans="33:37">
      <c r="AG1220" s="41" t="str">
        <f t="shared" si="111"/>
        <v/>
      </c>
      <c r="AH1220" t="str">
        <f t="shared" si="112"/>
        <v/>
      </c>
      <c r="AI1220" t="e">
        <f t="shared" si="113"/>
        <v>#N/A</v>
      </c>
      <c r="AJ1220" s="6" t="e">
        <f t="shared" si="114"/>
        <v>#N/A</v>
      </c>
      <c r="AK1220" s="19" t="e">
        <f t="shared" si="115"/>
        <v>#N/A</v>
      </c>
    </row>
    <row r="1221" spans="33:37">
      <c r="AG1221" s="41" t="str">
        <f t="shared" ref="AG1221:AG1253" si="116">IF(AG1220&lt;$AF$4,AG1220+1,"")</f>
        <v/>
      </c>
      <c r="AH1221" t="str">
        <f t="shared" si="112"/>
        <v/>
      </c>
      <c r="AI1221" t="e">
        <f t="shared" si="113"/>
        <v>#N/A</v>
      </c>
      <c r="AJ1221" s="6" t="e">
        <f t="shared" si="114"/>
        <v>#N/A</v>
      </c>
      <c r="AK1221" s="19" t="e">
        <f t="shared" si="115"/>
        <v>#N/A</v>
      </c>
    </row>
    <row r="1222" spans="33:37">
      <c r="AG1222" s="41" t="str">
        <f t="shared" si="116"/>
        <v/>
      </c>
      <c r="AH1222" t="str">
        <f t="shared" si="112"/>
        <v/>
      </c>
      <c r="AI1222" t="e">
        <f t="shared" si="113"/>
        <v>#N/A</v>
      </c>
      <c r="AJ1222" s="6" t="e">
        <f t="shared" si="114"/>
        <v>#N/A</v>
      </c>
      <c r="AK1222" s="19" t="e">
        <f t="shared" si="115"/>
        <v>#N/A</v>
      </c>
    </row>
    <row r="1223" spans="33:37">
      <c r="AG1223" s="41" t="str">
        <f t="shared" si="116"/>
        <v/>
      </c>
      <c r="AH1223" t="str">
        <f t="shared" si="112"/>
        <v/>
      </c>
      <c r="AI1223" t="e">
        <f t="shared" si="113"/>
        <v>#N/A</v>
      </c>
      <c r="AJ1223" s="6" t="e">
        <f t="shared" si="114"/>
        <v>#N/A</v>
      </c>
      <c r="AK1223" s="19" t="e">
        <f t="shared" si="115"/>
        <v>#N/A</v>
      </c>
    </row>
    <row r="1224" spans="33:37">
      <c r="AG1224" s="41" t="str">
        <f t="shared" si="116"/>
        <v/>
      </c>
      <c r="AH1224" t="str">
        <f t="shared" si="112"/>
        <v/>
      </c>
      <c r="AI1224" t="e">
        <f t="shared" si="113"/>
        <v>#N/A</v>
      </c>
      <c r="AJ1224" s="6" t="e">
        <f t="shared" si="114"/>
        <v>#N/A</v>
      </c>
      <c r="AK1224" s="19" t="e">
        <f t="shared" si="115"/>
        <v>#N/A</v>
      </c>
    </row>
    <row r="1225" spans="33:37">
      <c r="AG1225" s="41" t="str">
        <f t="shared" si="116"/>
        <v/>
      </c>
      <c r="AH1225" t="str">
        <f t="shared" si="112"/>
        <v/>
      </c>
      <c r="AI1225" t="e">
        <f t="shared" si="113"/>
        <v>#N/A</v>
      </c>
      <c r="AJ1225" s="6" t="e">
        <f t="shared" si="114"/>
        <v>#N/A</v>
      </c>
      <c r="AK1225" s="19" t="e">
        <f t="shared" si="115"/>
        <v>#N/A</v>
      </c>
    </row>
    <row r="1226" spans="33:37">
      <c r="AG1226" s="41" t="str">
        <f t="shared" si="116"/>
        <v/>
      </c>
      <c r="AH1226" t="str">
        <f t="shared" si="112"/>
        <v/>
      </c>
      <c r="AI1226" t="e">
        <f t="shared" si="113"/>
        <v>#N/A</v>
      </c>
      <c r="AJ1226" s="6" t="e">
        <f t="shared" si="114"/>
        <v>#N/A</v>
      </c>
      <c r="AK1226" s="19" t="e">
        <f t="shared" si="115"/>
        <v>#N/A</v>
      </c>
    </row>
    <row r="1227" spans="33:37">
      <c r="AG1227" s="41" t="str">
        <f t="shared" si="116"/>
        <v/>
      </c>
      <c r="AH1227" t="str">
        <f t="shared" si="112"/>
        <v/>
      </c>
      <c r="AI1227" t="e">
        <f t="shared" si="113"/>
        <v>#N/A</v>
      </c>
      <c r="AJ1227" s="6" t="e">
        <f t="shared" si="114"/>
        <v>#N/A</v>
      </c>
      <c r="AK1227" s="19" t="e">
        <f t="shared" si="115"/>
        <v>#N/A</v>
      </c>
    </row>
    <row r="1228" spans="33:37">
      <c r="AG1228" s="41" t="str">
        <f t="shared" si="116"/>
        <v/>
      </c>
      <c r="AH1228" t="str">
        <f t="shared" si="112"/>
        <v/>
      </c>
      <c r="AI1228" t="e">
        <f t="shared" si="113"/>
        <v>#N/A</v>
      </c>
      <c r="AJ1228" s="6" t="e">
        <f t="shared" si="114"/>
        <v>#N/A</v>
      </c>
      <c r="AK1228" s="19" t="e">
        <f t="shared" si="115"/>
        <v>#N/A</v>
      </c>
    </row>
    <row r="1229" spans="33:37">
      <c r="AG1229" s="41" t="str">
        <f t="shared" si="116"/>
        <v/>
      </c>
      <c r="AH1229" t="str">
        <f t="shared" si="112"/>
        <v/>
      </c>
      <c r="AI1229" t="e">
        <f t="shared" si="113"/>
        <v>#N/A</v>
      </c>
      <c r="AJ1229" s="6" t="e">
        <f t="shared" si="114"/>
        <v>#N/A</v>
      </c>
      <c r="AK1229" s="19" t="e">
        <f t="shared" si="115"/>
        <v>#N/A</v>
      </c>
    </row>
    <row r="1230" spans="33:37">
      <c r="AG1230" s="41" t="str">
        <f t="shared" si="116"/>
        <v/>
      </c>
      <c r="AH1230" t="str">
        <f t="shared" si="112"/>
        <v/>
      </c>
      <c r="AI1230" t="e">
        <f t="shared" si="113"/>
        <v>#N/A</v>
      </c>
      <c r="AJ1230" s="6" t="e">
        <f t="shared" si="114"/>
        <v>#N/A</v>
      </c>
      <c r="AK1230" s="19" t="e">
        <f t="shared" si="115"/>
        <v>#N/A</v>
      </c>
    </row>
    <row r="1231" spans="33:37">
      <c r="AG1231" s="41" t="str">
        <f t="shared" si="116"/>
        <v/>
      </c>
      <c r="AH1231" t="str">
        <f t="shared" si="112"/>
        <v/>
      </c>
      <c r="AI1231" t="e">
        <f t="shared" si="113"/>
        <v>#N/A</v>
      </c>
      <c r="AJ1231" s="6" t="e">
        <f t="shared" si="114"/>
        <v>#N/A</v>
      </c>
      <c r="AK1231" s="19" t="e">
        <f t="shared" si="115"/>
        <v>#N/A</v>
      </c>
    </row>
    <row r="1232" spans="33:37">
      <c r="AG1232" s="41" t="str">
        <f t="shared" si="116"/>
        <v/>
      </c>
      <c r="AH1232" t="str">
        <f t="shared" si="112"/>
        <v/>
      </c>
      <c r="AI1232" t="e">
        <f t="shared" si="113"/>
        <v>#N/A</v>
      </c>
      <c r="AJ1232" s="6" t="e">
        <f t="shared" si="114"/>
        <v>#N/A</v>
      </c>
      <c r="AK1232" s="19" t="e">
        <f t="shared" si="115"/>
        <v>#N/A</v>
      </c>
    </row>
    <row r="1233" spans="33:37">
      <c r="AG1233" s="41" t="str">
        <f t="shared" si="116"/>
        <v/>
      </c>
      <c r="AH1233" t="str">
        <f t="shared" si="112"/>
        <v/>
      </c>
      <c r="AI1233" t="e">
        <f t="shared" si="113"/>
        <v>#N/A</v>
      </c>
      <c r="AJ1233" s="6" t="e">
        <f t="shared" si="114"/>
        <v>#N/A</v>
      </c>
      <c r="AK1233" s="19" t="e">
        <f t="shared" si="115"/>
        <v>#N/A</v>
      </c>
    </row>
    <row r="1234" spans="33:37">
      <c r="AG1234" s="41" t="str">
        <f t="shared" si="116"/>
        <v/>
      </c>
      <c r="AH1234" t="str">
        <f t="shared" si="112"/>
        <v/>
      </c>
      <c r="AI1234" t="e">
        <f t="shared" si="113"/>
        <v>#N/A</v>
      </c>
      <c r="AJ1234" s="6" t="e">
        <f t="shared" si="114"/>
        <v>#N/A</v>
      </c>
      <c r="AK1234" s="19" t="e">
        <f t="shared" si="115"/>
        <v>#N/A</v>
      </c>
    </row>
    <row r="1235" spans="33:37">
      <c r="AG1235" s="41" t="str">
        <f t="shared" si="116"/>
        <v/>
      </c>
      <c r="AH1235" t="str">
        <f t="shared" si="112"/>
        <v/>
      </c>
      <c r="AI1235" t="e">
        <f t="shared" si="113"/>
        <v>#N/A</v>
      </c>
      <c r="AJ1235" s="6" t="e">
        <f t="shared" si="114"/>
        <v>#N/A</v>
      </c>
      <c r="AK1235" s="19" t="e">
        <f t="shared" si="115"/>
        <v>#N/A</v>
      </c>
    </row>
    <row r="1236" spans="33:37">
      <c r="AG1236" s="41" t="str">
        <f t="shared" si="116"/>
        <v/>
      </c>
      <c r="AH1236" t="str">
        <f t="shared" si="112"/>
        <v/>
      </c>
      <c r="AI1236" t="e">
        <f t="shared" si="113"/>
        <v>#N/A</v>
      </c>
      <c r="AJ1236" s="6" t="e">
        <f t="shared" si="114"/>
        <v>#N/A</v>
      </c>
      <c r="AK1236" s="19" t="e">
        <f t="shared" si="115"/>
        <v>#N/A</v>
      </c>
    </row>
    <row r="1237" spans="33:37">
      <c r="AG1237" s="41" t="str">
        <f t="shared" si="116"/>
        <v/>
      </c>
      <c r="AH1237" t="str">
        <f t="shared" si="112"/>
        <v/>
      </c>
      <c r="AI1237" t="e">
        <f t="shared" si="113"/>
        <v>#N/A</v>
      </c>
      <c r="AJ1237" s="6" t="e">
        <f t="shared" si="114"/>
        <v>#N/A</v>
      </c>
      <c r="AK1237" s="19" t="e">
        <f t="shared" si="115"/>
        <v>#N/A</v>
      </c>
    </row>
    <row r="1238" spans="33:37">
      <c r="AG1238" s="41" t="str">
        <f t="shared" si="116"/>
        <v/>
      </c>
      <c r="AH1238" t="str">
        <f t="shared" si="112"/>
        <v/>
      </c>
      <c r="AI1238" t="e">
        <f t="shared" si="113"/>
        <v>#N/A</v>
      </c>
      <c r="AJ1238" s="6" t="e">
        <f t="shared" si="114"/>
        <v>#N/A</v>
      </c>
      <c r="AK1238" s="19" t="e">
        <f t="shared" si="115"/>
        <v>#N/A</v>
      </c>
    </row>
    <row r="1239" spans="33:37">
      <c r="AG1239" s="41" t="str">
        <f t="shared" si="116"/>
        <v/>
      </c>
      <c r="AH1239" t="str">
        <f t="shared" si="112"/>
        <v/>
      </c>
      <c r="AI1239" t="e">
        <f t="shared" si="113"/>
        <v>#N/A</v>
      </c>
      <c r="AJ1239" s="6" t="e">
        <f t="shared" si="114"/>
        <v>#N/A</v>
      </c>
      <c r="AK1239" s="19" t="e">
        <f t="shared" si="115"/>
        <v>#N/A</v>
      </c>
    </row>
    <row r="1240" spans="33:37">
      <c r="AG1240" s="41" t="str">
        <f t="shared" si="116"/>
        <v/>
      </c>
      <c r="AH1240" t="str">
        <f t="shared" si="112"/>
        <v/>
      </c>
      <c r="AI1240" t="e">
        <f t="shared" si="113"/>
        <v>#N/A</v>
      </c>
      <c r="AJ1240" s="6" t="e">
        <f t="shared" si="114"/>
        <v>#N/A</v>
      </c>
      <c r="AK1240" s="19" t="e">
        <f t="shared" si="115"/>
        <v>#N/A</v>
      </c>
    </row>
    <row r="1241" spans="33:37">
      <c r="AG1241" s="41" t="str">
        <f t="shared" si="116"/>
        <v/>
      </c>
      <c r="AH1241" t="str">
        <f t="shared" si="112"/>
        <v/>
      </c>
      <c r="AI1241" t="e">
        <f t="shared" si="113"/>
        <v>#N/A</v>
      </c>
      <c r="AJ1241" s="6" t="e">
        <f t="shared" si="114"/>
        <v>#N/A</v>
      </c>
      <c r="AK1241" s="19" t="e">
        <f t="shared" si="115"/>
        <v>#N/A</v>
      </c>
    </row>
    <row r="1242" spans="33:37">
      <c r="AG1242" s="41" t="str">
        <f t="shared" si="116"/>
        <v/>
      </c>
      <c r="AH1242" t="str">
        <f t="shared" si="112"/>
        <v/>
      </c>
      <c r="AI1242" t="e">
        <f t="shared" si="113"/>
        <v>#N/A</v>
      </c>
      <c r="AJ1242" s="6" t="e">
        <f t="shared" si="114"/>
        <v>#N/A</v>
      </c>
      <c r="AK1242" s="19" t="e">
        <f t="shared" si="115"/>
        <v>#N/A</v>
      </c>
    </row>
    <row r="1243" spans="33:37">
      <c r="AG1243" s="41" t="str">
        <f t="shared" si="116"/>
        <v/>
      </c>
      <c r="AH1243" t="str">
        <f t="shared" si="112"/>
        <v/>
      </c>
      <c r="AI1243" t="e">
        <f t="shared" si="113"/>
        <v>#N/A</v>
      </c>
      <c r="AJ1243" s="6" t="e">
        <f t="shared" si="114"/>
        <v>#N/A</v>
      </c>
      <c r="AK1243" s="19" t="e">
        <f t="shared" si="115"/>
        <v>#N/A</v>
      </c>
    </row>
    <row r="1244" spans="33:37">
      <c r="AG1244" s="41" t="str">
        <f t="shared" si="116"/>
        <v/>
      </c>
      <c r="AH1244" t="str">
        <f t="shared" si="112"/>
        <v/>
      </c>
      <c r="AI1244" t="e">
        <f t="shared" si="113"/>
        <v>#N/A</v>
      </c>
      <c r="AJ1244" s="6" t="e">
        <f t="shared" si="114"/>
        <v>#N/A</v>
      </c>
      <c r="AK1244" s="19" t="e">
        <f t="shared" si="115"/>
        <v>#N/A</v>
      </c>
    </row>
    <row r="1245" spans="33:37">
      <c r="AG1245" s="41" t="str">
        <f t="shared" si="116"/>
        <v/>
      </c>
      <c r="AH1245" t="str">
        <f t="shared" si="112"/>
        <v/>
      </c>
      <c r="AI1245" t="e">
        <f t="shared" si="113"/>
        <v>#N/A</v>
      </c>
      <c r="AJ1245" s="6" t="e">
        <f t="shared" si="114"/>
        <v>#N/A</v>
      </c>
      <c r="AK1245" s="19" t="e">
        <f t="shared" si="115"/>
        <v>#N/A</v>
      </c>
    </row>
    <row r="1246" spans="33:37">
      <c r="AG1246" s="41" t="str">
        <f t="shared" si="116"/>
        <v/>
      </c>
      <c r="AH1246" t="str">
        <f t="shared" si="112"/>
        <v/>
      </c>
      <c r="AI1246" t="e">
        <f t="shared" si="113"/>
        <v>#N/A</v>
      </c>
      <c r="AJ1246" s="6" t="e">
        <f t="shared" si="114"/>
        <v>#N/A</v>
      </c>
      <c r="AK1246" s="19" t="e">
        <f t="shared" si="115"/>
        <v>#N/A</v>
      </c>
    </row>
    <row r="1247" spans="33:37">
      <c r="AG1247" s="41" t="str">
        <f t="shared" si="116"/>
        <v/>
      </c>
      <c r="AH1247" t="str">
        <f t="shared" si="112"/>
        <v/>
      </c>
      <c r="AI1247" t="e">
        <f t="shared" si="113"/>
        <v>#N/A</v>
      </c>
      <c r="AJ1247" s="6" t="e">
        <f t="shared" si="114"/>
        <v>#N/A</v>
      </c>
      <c r="AK1247" s="19" t="e">
        <f t="shared" si="115"/>
        <v>#N/A</v>
      </c>
    </row>
    <row r="1248" spans="33:37">
      <c r="AG1248" s="41" t="str">
        <f t="shared" si="116"/>
        <v/>
      </c>
      <c r="AH1248" t="str">
        <f t="shared" si="112"/>
        <v/>
      </c>
      <c r="AI1248" t="e">
        <f t="shared" si="113"/>
        <v>#N/A</v>
      </c>
      <c r="AJ1248" s="6" t="e">
        <f t="shared" si="114"/>
        <v>#N/A</v>
      </c>
      <c r="AK1248" s="19" t="e">
        <f t="shared" si="115"/>
        <v>#N/A</v>
      </c>
    </row>
    <row r="1249" spans="33:37">
      <c r="AG1249" s="41" t="str">
        <f t="shared" si="116"/>
        <v/>
      </c>
      <c r="AH1249" t="str">
        <f t="shared" si="112"/>
        <v/>
      </c>
      <c r="AI1249" t="e">
        <f t="shared" si="113"/>
        <v>#N/A</v>
      </c>
      <c r="AJ1249" s="6" t="e">
        <f t="shared" si="114"/>
        <v>#N/A</v>
      </c>
      <c r="AK1249" s="19" t="e">
        <f t="shared" si="115"/>
        <v>#N/A</v>
      </c>
    </row>
    <row r="1250" spans="33:37">
      <c r="AG1250" s="41" t="str">
        <f t="shared" si="116"/>
        <v/>
      </c>
      <c r="AH1250" t="str">
        <f t="shared" si="112"/>
        <v/>
      </c>
      <c r="AI1250" t="e">
        <f t="shared" si="113"/>
        <v>#N/A</v>
      </c>
      <c r="AJ1250" s="6" t="e">
        <f t="shared" si="114"/>
        <v>#N/A</v>
      </c>
      <c r="AK1250" s="19" t="e">
        <f t="shared" si="115"/>
        <v>#N/A</v>
      </c>
    </row>
    <row r="1251" spans="33:37">
      <c r="AG1251" s="41" t="str">
        <f t="shared" si="116"/>
        <v/>
      </c>
      <c r="AH1251" t="str">
        <f t="shared" si="112"/>
        <v/>
      </c>
      <c r="AI1251" t="e">
        <f t="shared" si="113"/>
        <v>#N/A</v>
      </c>
      <c r="AJ1251" s="6" t="e">
        <f t="shared" si="114"/>
        <v>#N/A</v>
      </c>
      <c r="AK1251" s="19" t="e">
        <f t="shared" si="115"/>
        <v>#N/A</v>
      </c>
    </row>
    <row r="1252" spans="33:37">
      <c r="AG1252" s="41" t="str">
        <f t="shared" si="116"/>
        <v/>
      </c>
      <c r="AH1252" t="str">
        <f t="shared" si="112"/>
        <v/>
      </c>
      <c r="AI1252" t="e">
        <f t="shared" si="113"/>
        <v>#N/A</v>
      </c>
      <c r="AJ1252" s="6" t="e">
        <f t="shared" si="114"/>
        <v>#N/A</v>
      </c>
      <c r="AK1252" s="19" t="e">
        <f t="shared" si="115"/>
        <v>#N/A</v>
      </c>
    </row>
    <row r="1253" spans="33:37">
      <c r="AG1253" s="42" t="str">
        <f t="shared" si="116"/>
        <v/>
      </c>
      <c r="AH1253" s="23" t="str">
        <f t="shared" si="112"/>
        <v/>
      </c>
      <c r="AI1253" s="23" t="e">
        <f t="shared" si="113"/>
        <v>#N/A</v>
      </c>
      <c r="AJ1253" s="52" t="e">
        <f t="shared" si="114"/>
        <v>#N/A</v>
      </c>
      <c r="AK1253" s="53" t="e">
        <f t="shared" si="115"/>
        <v>#N/A</v>
      </c>
    </row>
    <row r="1254" spans="33:37">
      <c r="AJ1254" s="6"/>
      <c r="AK1254" s="6"/>
    </row>
    <row r="1255" spans="33:37">
      <c r="AJ1255" s="6"/>
      <c r="AK1255" s="6"/>
    </row>
    <row r="1256" spans="33:37">
      <c r="AJ1256" s="6"/>
      <c r="AK1256" s="6"/>
    </row>
    <row r="1257" spans="33:37">
      <c r="AJ1257" s="6"/>
      <c r="AK1257" s="6"/>
    </row>
    <row r="1258" spans="33:37">
      <c r="AJ1258" s="6"/>
      <c r="AK1258" s="6"/>
    </row>
    <row r="1259" spans="33:37">
      <c r="AJ1259" s="6"/>
      <c r="AK1259" s="6"/>
    </row>
    <row r="1260" spans="33:37">
      <c r="AJ1260" s="6"/>
      <c r="AK1260" s="6"/>
    </row>
    <row r="1261" spans="33:37">
      <c r="AJ1261" s="6"/>
      <c r="AK1261" s="6"/>
    </row>
    <row r="1262" spans="33:37">
      <c r="AJ1262" s="6"/>
      <c r="AK1262" s="6"/>
    </row>
    <row r="1263" spans="33:37">
      <c r="AJ1263" s="6"/>
      <c r="AK1263" s="6"/>
    </row>
    <row r="1264" spans="33:37">
      <c r="AJ1264" s="6"/>
      <c r="AK1264" s="6"/>
    </row>
    <row r="1265" spans="36:37">
      <c r="AJ1265" s="6"/>
      <c r="AK1265" s="6"/>
    </row>
    <row r="1266" spans="36:37">
      <c r="AJ1266" s="6"/>
      <c r="AK1266" s="6"/>
    </row>
    <row r="1267" spans="36:37">
      <c r="AJ1267" s="6"/>
      <c r="AK1267" s="6"/>
    </row>
    <row r="1268" spans="36:37">
      <c r="AJ1268" s="6"/>
      <c r="AK1268" s="6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3</vt:i4>
      </vt:variant>
    </vt:vector>
  </HeadingPairs>
  <TitlesOfParts>
    <vt:vector size="4" baseType="lpstr">
      <vt:lpstr>FlexiProt</vt:lpstr>
      <vt:lpstr>Bfactors</vt:lpstr>
      <vt:lpstr>mh</vt:lpstr>
      <vt:lpstr>mv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AlumnosA17</dc:creator>
  <cp:lastModifiedBy>DBalleza</cp:lastModifiedBy>
  <dcterms:created xsi:type="dcterms:W3CDTF">2017-09-19T21:23:04Z</dcterms:created>
  <dcterms:modified xsi:type="dcterms:W3CDTF">2023-10-23T15:59:36Z</dcterms:modified>
</cp:coreProperties>
</file>